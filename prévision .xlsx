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067"/>
  <workbookPr/>
  <mc:AlternateContent xmlns:mc="http://schemas.openxmlformats.org/markup-compatibility/2006">
    <mc:Choice Requires="x15">
      <x15ac:absPath xmlns:x15ac="http://schemas.microsoft.com/office/spreadsheetml/2010/11/ac" url="C:\Users\Aleksdominik\Documents\cour ecc\2A\jeu d'entreprise\fresh connection\excel box\"/>
    </mc:Choice>
  </mc:AlternateContent>
  <bookViews>
    <workbookView xWindow="0" yWindow="0" windowWidth="20490" windowHeight="7230"/>
  </bookViews>
  <sheets>
    <sheet name="orange 1liter" sheetId="23" r:id="rId1"/>
    <sheet name="orange mango1liter" sheetId="6" r:id="rId2"/>
    <sheet name="orange cpower1liter" sheetId="19" r:id="rId3"/>
    <sheet name="orpet" sheetId="20" r:id="rId4"/>
    <sheet name="ormangopet" sheetId="22" r:id="rId5"/>
    <sheet name="cpowpet" sheetId="21" r:id="rId6"/>
    <sheet name="récapitulatif" sheetId="24" r:id="rId7"/>
  </sheets>
  <definedNames>
    <definedName name="solver_adj" localSheetId="5" hidden="1">cpowpet!$P$2:$P$4</definedName>
    <definedName name="solver_adj" localSheetId="0" hidden="1">'orange 1liter'!$P$2:$P$4</definedName>
    <definedName name="solver_adj" localSheetId="2" hidden="1">'orange cpower1liter'!$P$2:$P$4</definedName>
    <definedName name="solver_adj" localSheetId="1" hidden="1">'orange mango1liter'!$P$2:$P$4</definedName>
    <definedName name="solver_adj" localSheetId="4" hidden="1">ormangopet!$P$2:$P$4</definedName>
    <definedName name="solver_adj" localSheetId="3" hidden="1">orpet!$P$2:$P$4</definedName>
    <definedName name="solver_cvg" localSheetId="5" hidden="1">0.0001</definedName>
    <definedName name="solver_cvg" localSheetId="0" hidden="1">0.0001</definedName>
    <definedName name="solver_cvg" localSheetId="2" hidden="1">0.0001</definedName>
    <definedName name="solver_cvg" localSheetId="1" hidden="1">0.0001</definedName>
    <definedName name="solver_cvg" localSheetId="4" hidden="1">0.0001</definedName>
    <definedName name="solver_cvg" localSheetId="3" hidden="1">0.0001</definedName>
    <definedName name="solver_drv" localSheetId="5" hidden="1">1</definedName>
    <definedName name="solver_drv" localSheetId="0" hidden="1">1</definedName>
    <definedName name="solver_drv" localSheetId="2" hidden="1">1</definedName>
    <definedName name="solver_drv" localSheetId="1" hidden="1">1</definedName>
    <definedName name="solver_drv" localSheetId="4" hidden="1">1</definedName>
    <definedName name="solver_drv" localSheetId="3" hidden="1">1</definedName>
    <definedName name="solver_eng" localSheetId="5" hidden="1">1</definedName>
    <definedName name="solver_eng" localSheetId="0" hidden="1">1</definedName>
    <definedName name="solver_eng" localSheetId="2" hidden="1">1</definedName>
    <definedName name="solver_eng" localSheetId="1" hidden="1">1</definedName>
    <definedName name="solver_eng" localSheetId="4" hidden="1">1</definedName>
    <definedName name="solver_eng" localSheetId="3" hidden="1">1</definedName>
    <definedName name="solver_est" localSheetId="5" hidden="1">1</definedName>
    <definedName name="solver_est" localSheetId="0" hidden="1">1</definedName>
    <definedName name="solver_est" localSheetId="2" hidden="1">1</definedName>
    <definedName name="solver_est" localSheetId="1" hidden="1">1</definedName>
    <definedName name="solver_est" localSheetId="4" hidden="1">1</definedName>
    <definedName name="solver_est" localSheetId="3" hidden="1">1</definedName>
    <definedName name="solver_itr" localSheetId="5" hidden="1">2147483647</definedName>
    <definedName name="solver_itr" localSheetId="0" hidden="1">2147483647</definedName>
    <definedName name="solver_itr" localSheetId="2" hidden="1">2147483647</definedName>
    <definedName name="solver_itr" localSheetId="1" hidden="1">2147483647</definedName>
    <definedName name="solver_itr" localSheetId="4" hidden="1">2147483647</definedName>
    <definedName name="solver_itr" localSheetId="3" hidden="1">2147483647</definedName>
    <definedName name="solver_lhs1" localSheetId="5" hidden="1">cpowpet!$P$2:$P$4</definedName>
    <definedName name="solver_lhs1" localSheetId="0" hidden="1">'orange 1liter'!$P$2:$P$4</definedName>
    <definedName name="solver_lhs1" localSheetId="2" hidden="1">'orange cpower1liter'!$P$2:$P$4</definedName>
    <definedName name="solver_lhs1" localSheetId="1" hidden="1">'orange mango1liter'!$P$2:$P$4</definedName>
    <definedName name="solver_lhs1" localSheetId="4" hidden="1">ormangopet!$P$2:$P$4</definedName>
    <definedName name="solver_lhs1" localSheetId="3" hidden="1">orpet!$P$2:$P$4</definedName>
    <definedName name="solver_lhs2" localSheetId="5" hidden="1">cpowpet!$P$2:$P$4</definedName>
    <definedName name="solver_lhs2" localSheetId="0" hidden="1">'orange 1liter'!$P$2:$P$4</definedName>
    <definedName name="solver_lhs2" localSheetId="2" hidden="1">'orange cpower1liter'!$P$2:$P$4</definedName>
    <definedName name="solver_lhs2" localSheetId="1" hidden="1">'orange mango1liter'!$P$2:$P$4</definedName>
    <definedName name="solver_lhs2" localSheetId="4" hidden="1">ormangopet!$P$2:$P$4</definedName>
    <definedName name="solver_lhs2" localSheetId="3" hidden="1">orpet!$P$2:$P$4</definedName>
    <definedName name="solver_lhs3" localSheetId="5" hidden="1">cpowpet!$P$3</definedName>
    <definedName name="solver_lhs3" localSheetId="0" hidden="1">'orange 1liter'!$P$3</definedName>
    <definedName name="solver_lhs3" localSheetId="2" hidden="1">'orange cpower1liter'!$P$3</definedName>
    <definedName name="solver_lhs3" localSheetId="1" hidden="1">'orange mango1liter'!$P$3</definedName>
    <definedName name="solver_lhs3" localSheetId="4" hidden="1">ormangopet!$P$3</definedName>
    <definedName name="solver_lhs3" localSheetId="3" hidden="1">orpet!$P$3</definedName>
    <definedName name="solver_lhs4" localSheetId="5" hidden="1">cpowpet!$P$3</definedName>
    <definedName name="solver_lhs4" localSheetId="0" hidden="1">'orange 1liter'!$P$3</definedName>
    <definedName name="solver_lhs4" localSheetId="2" hidden="1">'orange cpower1liter'!$P$3</definedName>
    <definedName name="solver_lhs4" localSheetId="1" hidden="1">'orange mango1liter'!$P$3</definedName>
    <definedName name="solver_lhs4" localSheetId="4" hidden="1">ormangopet!$P$3</definedName>
    <definedName name="solver_lhs4" localSheetId="3" hidden="1">orpet!$P$3</definedName>
    <definedName name="solver_lhs5" localSheetId="5" hidden="1">cpowpet!$P$4</definedName>
    <definedName name="solver_lhs5" localSheetId="0" hidden="1">'orange 1liter'!$P$4</definedName>
    <definedName name="solver_lhs5" localSheetId="2" hidden="1">'orange cpower1liter'!$P$4</definedName>
    <definedName name="solver_lhs5" localSheetId="1" hidden="1">'orange mango1liter'!$P$4</definedName>
    <definedName name="solver_lhs5" localSheetId="4" hidden="1">ormangopet!$P$4</definedName>
    <definedName name="solver_lhs5" localSheetId="3" hidden="1">orpet!$P$4</definedName>
    <definedName name="solver_lhs6" localSheetId="5" hidden="1">cpowpet!$P$4</definedName>
    <definedName name="solver_lhs6" localSheetId="0" hidden="1">'orange 1liter'!$P$4</definedName>
    <definedName name="solver_lhs6" localSheetId="2" hidden="1">'orange cpower1liter'!$P$4</definedName>
    <definedName name="solver_lhs6" localSheetId="1" hidden="1">'orange mango1liter'!$P$4</definedName>
    <definedName name="solver_lhs6" localSheetId="4" hidden="1">ormangopet!$P$4</definedName>
    <definedName name="solver_lhs6" localSheetId="3" hidden="1">orpet!$P$4</definedName>
    <definedName name="solver_mip" localSheetId="5" hidden="1">2147483647</definedName>
    <definedName name="solver_mip" localSheetId="0" hidden="1">2147483647</definedName>
    <definedName name="solver_mip" localSheetId="2" hidden="1">2147483647</definedName>
    <definedName name="solver_mip" localSheetId="1" hidden="1">2147483647</definedName>
    <definedName name="solver_mip" localSheetId="4" hidden="1">2147483647</definedName>
    <definedName name="solver_mip" localSheetId="3" hidden="1">2147483647</definedName>
    <definedName name="solver_mni" localSheetId="5" hidden="1">30</definedName>
    <definedName name="solver_mni" localSheetId="0" hidden="1">30</definedName>
    <definedName name="solver_mni" localSheetId="2" hidden="1">30</definedName>
    <definedName name="solver_mni" localSheetId="1" hidden="1">30</definedName>
    <definedName name="solver_mni" localSheetId="4" hidden="1">30</definedName>
    <definedName name="solver_mni" localSheetId="3" hidden="1">30</definedName>
    <definedName name="solver_mrt" localSheetId="5" hidden="1">0.075</definedName>
    <definedName name="solver_mrt" localSheetId="0" hidden="1">0.075</definedName>
    <definedName name="solver_mrt" localSheetId="2" hidden="1">0.075</definedName>
    <definedName name="solver_mrt" localSheetId="1" hidden="1">0.075</definedName>
    <definedName name="solver_mrt" localSheetId="4" hidden="1">0.075</definedName>
    <definedName name="solver_mrt" localSheetId="3" hidden="1">0.075</definedName>
    <definedName name="solver_msl" localSheetId="5" hidden="1">2</definedName>
    <definedName name="solver_msl" localSheetId="0" hidden="1">2</definedName>
    <definedName name="solver_msl" localSheetId="2" hidden="1">2</definedName>
    <definedName name="solver_msl" localSheetId="1" hidden="1">2</definedName>
    <definedName name="solver_msl" localSheetId="4" hidden="1">2</definedName>
    <definedName name="solver_msl" localSheetId="3" hidden="1">2</definedName>
    <definedName name="solver_neg" localSheetId="5" hidden="1">1</definedName>
    <definedName name="solver_neg" localSheetId="0" hidden="1">1</definedName>
    <definedName name="solver_neg" localSheetId="2" hidden="1">1</definedName>
    <definedName name="solver_neg" localSheetId="1" hidden="1">1</definedName>
    <definedName name="solver_neg" localSheetId="4" hidden="1">1</definedName>
    <definedName name="solver_neg" localSheetId="3" hidden="1">1</definedName>
    <definedName name="solver_nod" localSheetId="5" hidden="1">2147483647</definedName>
    <definedName name="solver_nod" localSheetId="0" hidden="1">2147483647</definedName>
    <definedName name="solver_nod" localSheetId="2" hidden="1">2147483647</definedName>
    <definedName name="solver_nod" localSheetId="1" hidden="1">2147483647</definedName>
    <definedName name="solver_nod" localSheetId="4" hidden="1">2147483647</definedName>
    <definedName name="solver_nod" localSheetId="3" hidden="1">2147483647</definedName>
    <definedName name="solver_num" localSheetId="5" hidden="1">2</definedName>
    <definedName name="solver_num" localSheetId="0" hidden="1">2</definedName>
    <definedName name="solver_num" localSheetId="2" hidden="1">2</definedName>
    <definedName name="solver_num" localSheetId="1" hidden="1">2</definedName>
    <definedName name="solver_num" localSheetId="4" hidden="1">2</definedName>
    <definedName name="solver_num" localSheetId="3" hidden="1">2</definedName>
    <definedName name="solver_nwt" localSheetId="5" hidden="1">1</definedName>
    <definedName name="solver_nwt" localSheetId="0" hidden="1">1</definedName>
    <definedName name="solver_nwt" localSheetId="2" hidden="1">1</definedName>
    <definedName name="solver_nwt" localSheetId="1" hidden="1">1</definedName>
    <definedName name="solver_nwt" localSheetId="4" hidden="1">1</definedName>
    <definedName name="solver_nwt" localSheetId="3" hidden="1">1</definedName>
    <definedName name="solver_opt" localSheetId="5" hidden="1">cpowpet!$R$3</definedName>
    <definedName name="solver_opt" localSheetId="0" hidden="1">'orange 1liter'!$R$3</definedName>
    <definedName name="solver_opt" localSheetId="2" hidden="1">'orange cpower1liter'!$R$3</definedName>
    <definedName name="solver_opt" localSheetId="1" hidden="1">'orange mango1liter'!$R$3</definedName>
    <definedName name="solver_opt" localSheetId="4" hidden="1">ormangopet!$R$3</definedName>
    <definedName name="solver_opt" localSheetId="3" hidden="1">orpet!$R$3</definedName>
    <definedName name="solver_pre" localSheetId="5" hidden="1">0.000001</definedName>
    <definedName name="solver_pre" localSheetId="0" hidden="1">0.000001</definedName>
    <definedName name="solver_pre" localSheetId="2" hidden="1">0.000001</definedName>
    <definedName name="solver_pre" localSheetId="1" hidden="1">0.000001</definedName>
    <definedName name="solver_pre" localSheetId="4" hidden="1">0.000001</definedName>
    <definedName name="solver_pre" localSheetId="3" hidden="1">0.000001</definedName>
    <definedName name="solver_rbv" localSheetId="5" hidden="1">1</definedName>
    <definedName name="solver_rbv" localSheetId="0" hidden="1">1</definedName>
    <definedName name="solver_rbv" localSheetId="2" hidden="1">1</definedName>
    <definedName name="solver_rbv" localSheetId="1" hidden="1">1</definedName>
    <definedName name="solver_rbv" localSheetId="4" hidden="1">1</definedName>
    <definedName name="solver_rbv" localSheetId="3" hidden="1">1</definedName>
    <definedName name="solver_rel1" localSheetId="5" hidden="1">1</definedName>
    <definedName name="solver_rel1" localSheetId="0" hidden="1">1</definedName>
    <definedName name="solver_rel1" localSheetId="2" hidden="1">1</definedName>
    <definedName name="solver_rel1" localSheetId="1" hidden="1">1</definedName>
    <definedName name="solver_rel1" localSheetId="4" hidden="1">1</definedName>
    <definedName name="solver_rel1" localSheetId="3" hidden="1">1</definedName>
    <definedName name="solver_rel2" localSheetId="5" hidden="1">3</definedName>
    <definedName name="solver_rel2" localSheetId="0" hidden="1">3</definedName>
    <definedName name="solver_rel2" localSheetId="2" hidden="1">3</definedName>
    <definedName name="solver_rel2" localSheetId="1" hidden="1">3</definedName>
    <definedName name="solver_rel2" localSheetId="4" hidden="1">3</definedName>
    <definedName name="solver_rel2" localSheetId="3" hidden="1">3</definedName>
    <definedName name="solver_rel3" localSheetId="5" hidden="1">1</definedName>
    <definedName name="solver_rel3" localSheetId="0" hidden="1">1</definedName>
    <definedName name="solver_rel3" localSheetId="2" hidden="1">1</definedName>
    <definedName name="solver_rel3" localSheetId="1" hidden="1">1</definedName>
    <definedName name="solver_rel3" localSheetId="4" hidden="1">1</definedName>
    <definedName name="solver_rel3" localSheetId="3" hidden="1">1</definedName>
    <definedName name="solver_rel4" localSheetId="5" hidden="1">3</definedName>
    <definedName name="solver_rel4" localSheetId="0" hidden="1">3</definedName>
    <definedName name="solver_rel4" localSheetId="2" hidden="1">3</definedName>
    <definedName name="solver_rel4" localSheetId="1" hidden="1">3</definedName>
    <definedName name="solver_rel4" localSheetId="4" hidden="1">3</definedName>
    <definedName name="solver_rel4" localSheetId="3" hidden="1">3</definedName>
    <definedName name="solver_rel5" localSheetId="5" hidden="1">1</definedName>
    <definedName name="solver_rel5" localSheetId="0" hidden="1">1</definedName>
    <definedName name="solver_rel5" localSheetId="2" hidden="1">1</definedName>
    <definedName name="solver_rel5" localSheetId="1" hidden="1">1</definedName>
    <definedName name="solver_rel5" localSheetId="4" hidden="1">1</definedName>
    <definedName name="solver_rel5" localSheetId="3" hidden="1">1</definedName>
    <definedName name="solver_rel6" localSheetId="5" hidden="1">3</definedName>
    <definedName name="solver_rel6" localSheetId="0" hidden="1">3</definedName>
    <definedName name="solver_rel6" localSheetId="2" hidden="1">3</definedName>
    <definedName name="solver_rel6" localSheetId="1" hidden="1">3</definedName>
    <definedName name="solver_rel6" localSheetId="4" hidden="1">3</definedName>
    <definedName name="solver_rel6" localSheetId="3" hidden="1">3</definedName>
    <definedName name="solver_rhs1" localSheetId="5" hidden="1">1</definedName>
    <definedName name="solver_rhs1" localSheetId="0" hidden="1">1</definedName>
    <definedName name="solver_rhs1" localSheetId="2" hidden="1">1</definedName>
    <definedName name="solver_rhs1" localSheetId="1" hidden="1">1</definedName>
    <definedName name="solver_rhs1" localSheetId="4" hidden="1">1</definedName>
    <definedName name="solver_rhs1" localSheetId="3" hidden="1">1</definedName>
    <definedName name="solver_rhs2" localSheetId="5" hidden="1">0</definedName>
    <definedName name="solver_rhs2" localSheetId="0" hidden="1">0</definedName>
    <definedName name="solver_rhs2" localSheetId="2" hidden="1">0</definedName>
    <definedName name="solver_rhs2" localSheetId="1" hidden="1">0</definedName>
    <definedName name="solver_rhs2" localSheetId="4" hidden="1">0</definedName>
    <definedName name="solver_rhs2" localSheetId="3" hidden="1">0</definedName>
    <definedName name="solver_rhs3" localSheetId="5" hidden="1">1</definedName>
    <definedName name="solver_rhs3" localSheetId="0" hidden="1">1</definedName>
    <definedName name="solver_rhs3" localSheetId="2" hidden="1">1</definedName>
    <definedName name="solver_rhs3" localSheetId="1" hidden="1">1</definedName>
    <definedName name="solver_rhs3" localSheetId="4" hidden="1">1</definedName>
    <definedName name="solver_rhs3" localSheetId="3" hidden="1">1</definedName>
    <definedName name="solver_rhs4" localSheetId="5" hidden="1">0</definedName>
    <definedName name="solver_rhs4" localSheetId="0" hidden="1">0</definedName>
    <definedName name="solver_rhs4" localSheetId="2" hidden="1">0</definedName>
    <definedName name="solver_rhs4" localSheetId="1" hidden="1">0</definedName>
    <definedName name="solver_rhs4" localSheetId="4" hidden="1">0</definedName>
    <definedName name="solver_rhs4" localSheetId="3" hidden="1">0</definedName>
    <definedName name="solver_rhs5" localSheetId="5" hidden="1">1</definedName>
    <definedName name="solver_rhs5" localSheetId="0" hidden="1">1</definedName>
    <definedName name="solver_rhs5" localSheetId="2" hidden="1">1</definedName>
    <definedName name="solver_rhs5" localSheetId="1" hidden="1">1</definedName>
    <definedName name="solver_rhs5" localSheetId="4" hidden="1">1</definedName>
    <definedName name="solver_rhs5" localSheetId="3" hidden="1">1</definedName>
    <definedName name="solver_rhs6" localSheetId="5" hidden="1">0</definedName>
    <definedName name="solver_rhs6" localSheetId="0" hidden="1">0</definedName>
    <definedName name="solver_rhs6" localSheetId="2" hidden="1">0</definedName>
    <definedName name="solver_rhs6" localSheetId="1" hidden="1">0</definedName>
    <definedName name="solver_rhs6" localSheetId="4" hidden="1">0</definedName>
    <definedName name="solver_rhs6" localSheetId="3" hidden="1">0</definedName>
    <definedName name="solver_rlx" localSheetId="5" hidden="1">2</definedName>
    <definedName name="solver_rlx" localSheetId="0" hidden="1">2</definedName>
    <definedName name="solver_rlx" localSheetId="2" hidden="1">2</definedName>
    <definedName name="solver_rlx" localSheetId="1" hidden="1">2</definedName>
    <definedName name="solver_rlx" localSheetId="4" hidden="1">2</definedName>
    <definedName name="solver_rlx" localSheetId="3" hidden="1">2</definedName>
    <definedName name="solver_rsd" localSheetId="5" hidden="1">0</definedName>
    <definedName name="solver_rsd" localSheetId="0" hidden="1">0</definedName>
    <definedName name="solver_rsd" localSheetId="2" hidden="1">0</definedName>
    <definedName name="solver_rsd" localSheetId="1" hidden="1">0</definedName>
    <definedName name="solver_rsd" localSheetId="4" hidden="1">0</definedName>
    <definedName name="solver_rsd" localSheetId="3" hidden="1">0</definedName>
    <definedName name="solver_scl" localSheetId="5" hidden="1">1</definedName>
    <definedName name="solver_scl" localSheetId="0" hidden="1">1</definedName>
    <definedName name="solver_scl" localSheetId="2" hidden="1">1</definedName>
    <definedName name="solver_scl" localSheetId="1" hidden="1">1</definedName>
    <definedName name="solver_scl" localSheetId="4" hidden="1">1</definedName>
    <definedName name="solver_scl" localSheetId="3" hidden="1">1</definedName>
    <definedName name="solver_sho" localSheetId="5" hidden="1">2</definedName>
    <definedName name="solver_sho" localSheetId="0" hidden="1">2</definedName>
    <definedName name="solver_sho" localSheetId="2" hidden="1">2</definedName>
    <definedName name="solver_sho" localSheetId="1" hidden="1">2</definedName>
    <definedName name="solver_sho" localSheetId="4" hidden="1">2</definedName>
    <definedName name="solver_sho" localSheetId="3" hidden="1">2</definedName>
    <definedName name="solver_ssz" localSheetId="5" hidden="1">100</definedName>
    <definedName name="solver_ssz" localSheetId="0" hidden="1">100</definedName>
    <definedName name="solver_ssz" localSheetId="2" hidden="1">100</definedName>
    <definedName name="solver_ssz" localSheetId="1" hidden="1">100</definedName>
    <definedName name="solver_ssz" localSheetId="4" hidden="1">100</definedName>
    <definedName name="solver_ssz" localSheetId="3" hidden="1">100</definedName>
    <definedName name="solver_tim" localSheetId="5" hidden="1">2147483647</definedName>
    <definedName name="solver_tim" localSheetId="0" hidden="1">2147483647</definedName>
    <definedName name="solver_tim" localSheetId="2" hidden="1">2147483647</definedName>
    <definedName name="solver_tim" localSheetId="1" hidden="1">2147483647</definedName>
    <definedName name="solver_tim" localSheetId="4" hidden="1">2147483647</definedName>
    <definedName name="solver_tim" localSheetId="3" hidden="1">2147483647</definedName>
    <definedName name="solver_tol" localSheetId="5" hidden="1">0.01</definedName>
    <definedName name="solver_tol" localSheetId="0" hidden="1">0.01</definedName>
    <definedName name="solver_tol" localSheetId="2" hidden="1">0.01</definedName>
    <definedName name="solver_tol" localSheetId="1" hidden="1">0.01</definedName>
    <definedName name="solver_tol" localSheetId="4" hidden="1">0.01</definedName>
    <definedName name="solver_tol" localSheetId="3" hidden="1">0.01</definedName>
    <definedName name="solver_typ" localSheetId="5" hidden="1">2</definedName>
    <definedName name="solver_typ" localSheetId="0" hidden="1">2</definedName>
    <definedName name="solver_typ" localSheetId="2" hidden="1">2</definedName>
    <definedName name="solver_typ" localSheetId="1" hidden="1">2</definedName>
    <definedName name="solver_typ" localSheetId="4" hidden="1">2</definedName>
    <definedName name="solver_typ" localSheetId="3" hidden="1">2</definedName>
    <definedName name="solver_val" localSheetId="5" hidden="1">0</definedName>
    <definedName name="solver_val" localSheetId="0" hidden="1">0</definedName>
    <definedName name="solver_val" localSheetId="2" hidden="1">0</definedName>
    <definedName name="solver_val" localSheetId="1" hidden="1">0</definedName>
    <definedName name="solver_val" localSheetId="4" hidden="1">0</definedName>
    <definedName name="solver_val" localSheetId="3" hidden="1">0</definedName>
    <definedName name="solver_ver" localSheetId="5" hidden="1">3</definedName>
    <definedName name="solver_ver" localSheetId="0" hidden="1">3</definedName>
    <definedName name="solver_ver" localSheetId="2" hidden="1">3</definedName>
    <definedName name="solver_ver" localSheetId="1" hidden="1">3</definedName>
    <definedName name="solver_ver" localSheetId="4" hidden="1">3</definedName>
    <definedName name="solver_ver" localSheetId="3" hidden="1">3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24" l="1"/>
  <c r="G6" i="24"/>
  <c r="G7" i="24"/>
  <c r="G8" i="24"/>
  <c r="G3" i="24"/>
  <c r="G4" i="24"/>
  <c r="F3" i="24"/>
  <c r="F4" i="24"/>
  <c r="F5" i="24"/>
  <c r="F6" i="24"/>
  <c r="F7" i="24"/>
  <c r="F8" i="24"/>
  <c r="E8" i="24"/>
  <c r="D8" i="24"/>
  <c r="W62" i="21"/>
  <c r="E7" i="24"/>
  <c r="D7" i="24"/>
  <c r="E6" i="24"/>
  <c r="D6" i="24"/>
  <c r="E5" i="24"/>
  <c r="D5" i="24"/>
  <c r="E4" i="24"/>
  <c r="D4" i="24"/>
  <c r="E3" i="24"/>
  <c r="D3" i="24"/>
  <c r="Y62" i="22"/>
  <c r="W62" i="22"/>
  <c r="Y62" i="21"/>
  <c r="Y62" i="20"/>
  <c r="W62" i="20"/>
  <c r="Y62" i="19"/>
  <c r="W62" i="19"/>
  <c r="Y62" i="6"/>
  <c r="W62" i="6"/>
  <c r="Y62" i="23"/>
  <c r="W62" i="23"/>
  <c r="G21" i="22"/>
  <c r="G21" i="21"/>
  <c r="V4" i="19"/>
  <c r="G21" i="6"/>
  <c r="F21" i="6"/>
  <c r="W63" i="6" l="1"/>
  <c r="W63" i="22"/>
  <c r="G21" i="23"/>
  <c r="G21" i="19"/>
  <c r="O70" i="23"/>
  <c r="P70" i="23" s="1"/>
  <c r="Q70" i="23" s="1"/>
  <c r="M70" i="23"/>
  <c r="O69" i="23"/>
  <c r="P69" i="23" s="1"/>
  <c r="Q69" i="23" s="1"/>
  <c r="M69" i="23"/>
  <c r="O68" i="23"/>
  <c r="P68" i="23" s="1"/>
  <c r="Q68" i="23" s="1"/>
  <c r="M68" i="23"/>
  <c r="O67" i="23"/>
  <c r="P67" i="23" s="1"/>
  <c r="Q67" i="23" s="1"/>
  <c r="M67" i="23"/>
  <c r="O66" i="23"/>
  <c r="P66" i="23" s="1"/>
  <c r="Q66" i="23" s="1"/>
  <c r="M66" i="23"/>
  <c r="O65" i="23"/>
  <c r="P65" i="23" s="1"/>
  <c r="Q65" i="23" s="1"/>
  <c r="M65" i="23"/>
  <c r="O64" i="23"/>
  <c r="P64" i="23" s="1"/>
  <c r="Q64" i="23" s="1"/>
  <c r="M64" i="23"/>
  <c r="O63" i="23"/>
  <c r="P63" i="23" s="1"/>
  <c r="Q63" i="23" s="1"/>
  <c r="M63" i="23"/>
  <c r="O62" i="23"/>
  <c r="P62" i="23" s="1"/>
  <c r="Q62" i="23" s="1"/>
  <c r="M62" i="23"/>
  <c r="O61" i="23"/>
  <c r="P61" i="23" s="1"/>
  <c r="Q61" i="23" s="1"/>
  <c r="M61" i="23"/>
  <c r="O60" i="23"/>
  <c r="P60" i="23" s="1"/>
  <c r="Q60" i="23" s="1"/>
  <c r="M60" i="23"/>
  <c r="O59" i="23"/>
  <c r="P59" i="23" s="1"/>
  <c r="Q59" i="23" s="1"/>
  <c r="M59" i="23"/>
  <c r="O58" i="23"/>
  <c r="P58" i="23" s="1"/>
  <c r="Q58" i="23" s="1"/>
  <c r="M58" i="23"/>
  <c r="O57" i="23"/>
  <c r="P57" i="23" s="1"/>
  <c r="Q57" i="23" s="1"/>
  <c r="M57" i="23"/>
  <c r="O56" i="23"/>
  <c r="P56" i="23" s="1"/>
  <c r="Q56" i="23" s="1"/>
  <c r="M56" i="23"/>
  <c r="O55" i="23"/>
  <c r="P55" i="23" s="1"/>
  <c r="Q55" i="23" s="1"/>
  <c r="M55" i="23"/>
  <c r="O54" i="23"/>
  <c r="P54" i="23" s="1"/>
  <c r="Q54" i="23" s="1"/>
  <c r="M54" i="23"/>
  <c r="O53" i="23"/>
  <c r="P53" i="23" s="1"/>
  <c r="Q53" i="23" s="1"/>
  <c r="M53" i="23"/>
  <c r="O52" i="23"/>
  <c r="P52" i="23" s="1"/>
  <c r="Q52" i="23" s="1"/>
  <c r="M52" i="23"/>
  <c r="O51" i="23"/>
  <c r="P51" i="23" s="1"/>
  <c r="Q51" i="23" s="1"/>
  <c r="M51" i="23"/>
  <c r="O50" i="23"/>
  <c r="P50" i="23" s="1"/>
  <c r="Q50" i="23" s="1"/>
  <c r="M50" i="23"/>
  <c r="O49" i="23"/>
  <c r="P49" i="23" s="1"/>
  <c r="Q49" i="23" s="1"/>
  <c r="M49" i="23"/>
  <c r="O48" i="23"/>
  <c r="P48" i="23" s="1"/>
  <c r="Q48" i="23" s="1"/>
  <c r="M48" i="23"/>
  <c r="O47" i="23"/>
  <c r="P47" i="23" s="1"/>
  <c r="Q47" i="23" s="1"/>
  <c r="M47" i="23"/>
  <c r="O46" i="23"/>
  <c r="P46" i="23" s="1"/>
  <c r="Q46" i="23" s="1"/>
  <c r="M46" i="23"/>
  <c r="O45" i="23"/>
  <c r="P45" i="23" s="1"/>
  <c r="Q45" i="23" s="1"/>
  <c r="M45" i="23"/>
  <c r="O44" i="23"/>
  <c r="P44" i="23" s="1"/>
  <c r="Q44" i="23" s="1"/>
  <c r="M44" i="23"/>
  <c r="A44" i="23"/>
  <c r="H17" i="23" s="1"/>
  <c r="O43" i="23"/>
  <c r="P43" i="23" s="1"/>
  <c r="Q43" i="23" s="1"/>
  <c r="M43" i="23"/>
  <c r="O42" i="23"/>
  <c r="P42" i="23" s="1"/>
  <c r="Q42" i="23" s="1"/>
  <c r="M42" i="23"/>
  <c r="O41" i="23"/>
  <c r="P41" i="23" s="1"/>
  <c r="Q41" i="23" s="1"/>
  <c r="M41" i="23"/>
  <c r="O40" i="23"/>
  <c r="P40" i="23" s="1"/>
  <c r="Q40" i="23" s="1"/>
  <c r="M40" i="23"/>
  <c r="O39" i="23"/>
  <c r="P39" i="23" s="1"/>
  <c r="Q39" i="23" s="1"/>
  <c r="M39" i="23"/>
  <c r="O38" i="23"/>
  <c r="P38" i="23" s="1"/>
  <c r="Q38" i="23" s="1"/>
  <c r="M38" i="23"/>
  <c r="O37" i="23"/>
  <c r="P37" i="23" s="1"/>
  <c r="Q37" i="23" s="1"/>
  <c r="M37" i="23"/>
  <c r="O36" i="23"/>
  <c r="P36" i="23" s="1"/>
  <c r="Q36" i="23" s="1"/>
  <c r="M36" i="23"/>
  <c r="O35" i="23"/>
  <c r="P35" i="23" s="1"/>
  <c r="Q35" i="23" s="1"/>
  <c r="M35" i="23"/>
  <c r="O34" i="23"/>
  <c r="P34" i="23" s="1"/>
  <c r="Q34" i="23" s="1"/>
  <c r="M34" i="23"/>
  <c r="O33" i="23"/>
  <c r="P33" i="23" s="1"/>
  <c r="Q33" i="23" s="1"/>
  <c r="M33" i="23"/>
  <c r="O32" i="23"/>
  <c r="P32" i="23" s="1"/>
  <c r="Q32" i="23" s="1"/>
  <c r="M32" i="23"/>
  <c r="O31" i="23"/>
  <c r="P31" i="23" s="1"/>
  <c r="Q31" i="23" s="1"/>
  <c r="M31" i="23"/>
  <c r="O30" i="23"/>
  <c r="P30" i="23" s="1"/>
  <c r="Q30" i="23" s="1"/>
  <c r="M30" i="23"/>
  <c r="O29" i="23"/>
  <c r="P29" i="23" s="1"/>
  <c r="Q29" i="23" s="1"/>
  <c r="M29" i="23"/>
  <c r="O28" i="23"/>
  <c r="P28" i="23" s="1"/>
  <c r="Q28" i="23" s="1"/>
  <c r="M28" i="23"/>
  <c r="O27" i="23"/>
  <c r="P27" i="23" s="1"/>
  <c r="Q27" i="23" s="1"/>
  <c r="M27" i="23"/>
  <c r="O26" i="23"/>
  <c r="P26" i="23" s="1"/>
  <c r="Q26" i="23" s="1"/>
  <c r="M26" i="23"/>
  <c r="O25" i="23"/>
  <c r="P25" i="23" s="1"/>
  <c r="Q25" i="23" s="1"/>
  <c r="M25" i="23"/>
  <c r="O24" i="23"/>
  <c r="P24" i="23" s="1"/>
  <c r="Q24" i="23" s="1"/>
  <c r="M24" i="23"/>
  <c r="O23" i="23"/>
  <c r="P23" i="23" s="1"/>
  <c r="Q23" i="23" s="1"/>
  <c r="M23" i="23"/>
  <c r="O22" i="23"/>
  <c r="P22" i="23" s="1"/>
  <c r="Q22" i="23" s="1"/>
  <c r="M22" i="23"/>
  <c r="O21" i="23"/>
  <c r="P21" i="23" s="1"/>
  <c r="Q21" i="23" s="1"/>
  <c r="M21" i="23"/>
  <c r="F21" i="23"/>
  <c r="O20" i="23"/>
  <c r="P20" i="23" s="1"/>
  <c r="Q20" i="23" s="1"/>
  <c r="M20" i="23"/>
  <c r="O19" i="23"/>
  <c r="P19" i="23" s="1"/>
  <c r="Q19" i="23" s="1"/>
  <c r="M19" i="23"/>
  <c r="O18" i="23"/>
  <c r="P18" i="23" s="1"/>
  <c r="Q18" i="23" s="1"/>
  <c r="M18" i="23"/>
  <c r="O17" i="23"/>
  <c r="P17" i="23" s="1"/>
  <c r="Q17" i="23" s="1"/>
  <c r="M17" i="23"/>
  <c r="O16" i="23"/>
  <c r="P16" i="23" s="1"/>
  <c r="Q16" i="23" s="1"/>
  <c r="M16" i="23"/>
  <c r="O15" i="23"/>
  <c r="P15" i="23" s="1"/>
  <c r="Q15" i="23" s="1"/>
  <c r="M15" i="23"/>
  <c r="O14" i="23"/>
  <c r="P14" i="23" s="1"/>
  <c r="Q14" i="23" s="1"/>
  <c r="M14" i="23"/>
  <c r="O13" i="23"/>
  <c r="P13" i="23" s="1"/>
  <c r="Q13" i="23" s="1"/>
  <c r="M13" i="23"/>
  <c r="O12" i="23"/>
  <c r="P12" i="23" s="1"/>
  <c r="Q12" i="23" s="1"/>
  <c r="M12" i="23"/>
  <c r="O11" i="23"/>
  <c r="P11" i="23" s="1"/>
  <c r="Q11" i="23" s="1"/>
  <c r="M11" i="23"/>
  <c r="O10" i="23"/>
  <c r="P10" i="23" s="1"/>
  <c r="Q10" i="23" s="1"/>
  <c r="M10" i="23"/>
  <c r="H10" i="23"/>
  <c r="O9" i="23"/>
  <c r="P9" i="23" s="1"/>
  <c r="Q9" i="23" s="1"/>
  <c r="M9" i="23"/>
  <c r="O8" i="23"/>
  <c r="P8" i="23" s="1"/>
  <c r="Q8" i="23" s="1"/>
  <c r="M8" i="23"/>
  <c r="O7" i="23"/>
  <c r="P7" i="23" s="1"/>
  <c r="Q7" i="23" s="1"/>
  <c r="M7" i="23"/>
  <c r="V5" i="23"/>
  <c r="O70" i="22"/>
  <c r="P70" i="22" s="1"/>
  <c r="Q70" i="22" s="1"/>
  <c r="M70" i="22"/>
  <c r="O69" i="22"/>
  <c r="P69" i="22" s="1"/>
  <c r="Q69" i="22" s="1"/>
  <c r="M69" i="22"/>
  <c r="O68" i="22"/>
  <c r="P68" i="22" s="1"/>
  <c r="Q68" i="22" s="1"/>
  <c r="M68" i="22"/>
  <c r="O67" i="22"/>
  <c r="P67" i="22" s="1"/>
  <c r="Q67" i="22" s="1"/>
  <c r="M67" i="22"/>
  <c r="O66" i="22"/>
  <c r="P66" i="22" s="1"/>
  <c r="Q66" i="22" s="1"/>
  <c r="M66" i="22"/>
  <c r="O65" i="22"/>
  <c r="P65" i="22" s="1"/>
  <c r="Q65" i="22" s="1"/>
  <c r="M65" i="22"/>
  <c r="O64" i="22"/>
  <c r="P64" i="22" s="1"/>
  <c r="Q64" i="22" s="1"/>
  <c r="M64" i="22"/>
  <c r="O63" i="22"/>
  <c r="P63" i="22" s="1"/>
  <c r="Q63" i="22" s="1"/>
  <c r="M63" i="22"/>
  <c r="O62" i="22"/>
  <c r="P62" i="22" s="1"/>
  <c r="Q62" i="22" s="1"/>
  <c r="M62" i="22"/>
  <c r="O61" i="22"/>
  <c r="P61" i="22" s="1"/>
  <c r="Q61" i="22" s="1"/>
  <c r="M61" i="22"/>
  <c r="O60" i="22"/>
  <c r="P60" i="22" s="1"/>
  <c r="Q60" i="22" s="1"/>
  <c r="M60" i="22"/>
  <c r="O59" i="22"/>
  <c r="P59" i="22" s="1"/>
  <c r="Q59" i="22" s="1"/>
  <c r="M59" i="22"/>
  <c r="O58" i="22"/>
  <c r="P58" i="22" s="1"/>
  <c r="Q58" i="22" s="1"/>
  <c r="M58" i="22"/>
  <c r="O57" i="22"/>
  <c r="P57" i="22" s="1"/>
  <c r="Q57" i="22" s="1"/>
  <c r="M57" i="22"/>
  <c r="O56" i="22"/>
  <c r="P56" i="22" s="1"/>
  <c r="Q56" i="22" s="1"/>
  <c r="M56" i="22"/>
  <c r="O55" i="22"/>
  <c r="P55" i="22" s="1"/>
  <c r="Q55" i="22" s="1"/>
  <c r="M55" i="22"/>
  <c r="O54" i="22"/>
  <c r="P54" i="22" s="1"/>
  <c r="Q54" i="22" s="1"/>
  <c r="M54" i="22"/>
  <c r="O53" i="22"/>
  <c r="P53" i="22" s="1"/>
  <c r="Q53" i="22" s="1"/>
  <c r="M53" i="22"/>
  <c r="O52" i="22"/>
  <c r="P52" i="22" s="1"/>
  <c r="Q52" i="22" s="1"/>
  <c r="M52" i="22"/>
  <c r="O51" i="22"/>
  <c r="P51" i="22" s="1"/>
  <c r="Q51" i="22" s="1"/>
  <c r="M51" i="22"/>
  <c r="O50" i="22"/>
  <c r="P50" i="22" s="1"/>
  <c r="Q50" i="22" s="1"/>
  <c r="M50" i="22"/>
  <c r="O49" i="22"/>
  <c r="P49" i="22" s="1"/>
  <c r="Q49" i="22" s="1"/>
  <c r="M49" i="22"/>
  <c r="O48" i="22"/>
  <c r="P48" i="22" s="1"/>
  <c r="Q48" i="22" s="1"/>
  <c r="M48" i="22"/>
  <c r="O47" i="22"/>
  <c r="P47" i="22" s="1"/>
  <c r="Q47" i="22" s="1"/>
  <c r="M47" i="22"/>
  <c r="O46" i="22"/>
  <c r="P46" i="22" s="1"/>
  <c r="Q46" i="22" s="1"/>
  <c r="M46" i="22"/>
  <c r="O45" i="22"/>
  <c r="P45" i="22" s="1"/>
  <c r="Q45" i="22" s="1"/>
  <c r="M45" i="22"/>
  <c r="O44" i="22"/>
  <c r="P44" i="22" s="1"/>
  <c r="Q44" i="22" s="1"/>
  <c r="M44" i="22"/>
  <c r="A44" i="22"/>
  <c r="O43" i="22"/>
  <c r="P43" i="22" s="1"/>
  <c r="Q43" i="22" s="1"/>
  <c r="M43" i="22"/>
  <c r="O42" i="22"/>
  <c r="P42" i="22" s="1"/>
  <c r="Q42" i="22" s="1"/>
  <c r="M42" i="22"/>
  <c r="O41" i="22"/>
  <c r="P41" i="22" s="1"/>
  <c r="Q41" i="22" s="1"/>
  <c r="M41" i="22"/>
  <c r="O40" i="22"/>
  <c r="P40" i="22" s="1"/>
  <c r="Q40" i="22" s="1"/>
  <c r="M40" i="22"/>
  <c r="O39" i="22"/>
  <c r="P39" i="22" s="1"/>
  <c r="Q39" i="22" s="1"/>
  <c r="M39" i="22"/>
  <c r="O38" i="22"/>
  <c r="P38" i="22" s="1"/>
  <c r="Q38" i="22" s="1"/>
  <c r="M38" i="22"/>
  <c r="O37" i="22"/>
  <c r="P37" i="22" s="1"/>
  <c r="Q37" i="22" s="1"/>
  <c r="M37" i="22"/>
  <c r="O36" i="22"/>
  <c r="P36" i="22" s="1"/>
  <c r="Q36" i="22" s="1"/>
  <c r="M36" i="22"/>
  <c r="O35" i="22"/>
  <c r="P35" i="22" s="1"/>
  <c r="Q35" i="22" s="1"/>
  <c r="M35" i="22"/>
  <c r="O34" i="22"/>
  <c r="P34" i="22" s="1"/>
  <c r="Q34" i="22" s="1"/>
  <c r="M34" i="22"/>
  <c r="O33" i="22"/>
  <c r="P33" i="22" s="1"/>
  <c r="Q33" i="22" s="1"/>
  <c r="M33" i="22"/>
  <c r="O32" i="22"/>
  <c r="P32" i="22" s="1"/>
  <c r="Q32" i="22" s="1"/>
  <c r="M32" i="22"/>
  <c r="O31" i="22"/>
  <c r="P31" i="22" s="1"/>
  <c r="Q31" i="22" s="1"/>
  <c r="M31" i="22"/>
  <c r="O30" i="22"/>
  <c r="P30" i="22" s="1"/>
  <c r="Q30" i="22" s="1"/>
  <c r="M30" i="22"/>
  <c r="O29" i="22"/>
  <c r="P29" i="22" s="1"/>
  <c r="Q29" i="22" s="1"/>
  <c r="M29" i="22"/>
  <c r="O28" i="22"/>
  <c r="P28" i="22" s="1"/>
  <c r="Q28" i="22" s="1"/>
  <c r="M28" i="22"/>
  <c r="O27" i="22"/>
  <c r="P27" i="22" s="1"/>
  <c r="Q27" i="22" s="1"/>
  <c r="M27" i="22"/>
  <c r="O26" i="22"/>
  <c r="P26" i="22" s="1"/>
  <c r="Q26" i="22" s="1"/>
  <c r="M26" i="22"/>
  <c r="O25" i="22"/>
  <c r="P25" i="22" s="1"/>
  <c r="Q25" i="22" s="1"/>
  <c r="M25" i="22"/>
  <c r="O24" i="22"/>
  <c r="P24" i="22" s="1"/>
  <c r="Q24" i="22" s="1"/>
  <c r="M24" i="22"/>
  <c r="O23" i="22"/>
  <c r="P23" i="22" s="1"/>
  <c r="Q23" i="22" s="1"/>
  <c r="M23" i="22"/>
  <c r="O22" i="22"/>
  <c r="P22" i="22" s="1"/>
  <c r="Q22" i="22" s="1"/>
  <c r="M22" i="22"/>
  <c r="O21" i="22"/>
  <c r="P21" i="22" s="1"/>
  <c r="Q21" i="22" s="1"/>
  <c r="M21" i="22"/>
  <c r="H21" i="22"/>
  <c r="F21" i="22"/>
  <c r="O20" i="22"/>
  <c r="P20" i="22" s="1"/>
  <c r="Q20" i="22" s="1"/>
  <c r="M20" i="22"/>
  <c r="H20" i="22"/>
  <c r="O19" i="22"/>
  <c r="P19" i="22" s="1"/>
  <c r="Q19" i="22" s="1"/>
  <c r="M19" i="22"/>
  <c r="H19" i="22"/>
  <c r="O18" i="22"/>
  <c r="P18" i="22" s="1"/>
  <c r="Q18" i="22" s="1"/>
  <c r="M18" i="22"/>
  <c r="H18" i="22"/>
  <c r="O17" i="22"/>
  <c r="P17" i="22" s="1"/>
  <c r="Q17" i="22" s="1"/>
  <c r="M17" i="22"/>
  <c r="H17" i="22"/>
  <c r="O16" i="22"/>
  <c r="P16" i="22" s="1"/>
  <c r="Q16" i="22" s="1"/>
  <c r="M16" i="22"/>
  <c r="H16" i="22"/>
  <c r="O15" i="22"/>
  <c r="P15" i="22" s="1"/>
  <c r="Q15" i="22" s="1"/>
  <c r="M15" i="22"/>
  <c r="H15" i="22"/>
  <c r="O14" i="22"/>
  <c r="P14" i="22" s="1"/>
  <c r="Q14" i="22" s="1"/>
  <c r="M14" i="22"/>
  <c r="H14" i="22"/>
  <c r="O13" i="22"/>
  <c r="P13" i="22" s="1"/>
  <c r="Q13" i="22" s="1"/>
  <c r="M13" i="22"/>
  <c r="H13" i="22"/>
  <c r="O12" i="22"/>
  <c r="P12" i="22" s="1"/>
  <c r="Q12" i="22" s="1"/>
  <c r="M12" i="22"/>
  <c r="H12" i="22"/>
  <c r="O11" i="22"/>
  <c r="P11" i="22" s="1"/>
  <c r="Q11" i="22" s="1"/>
  <c r="M11" i="22"/>
  <c r="H11" i="22"/>
  <c r="O10" i="22"/>
  <c r="P10" i="22" s="1"/>
  <c r="Q10" i="22" s="1"/>
  <c r="M10" i="22"/>
  <c r="H10" i="22"/>
  <c r="O9" i="22"/>
  <c r="P9" i="22" s="1"/>
  <c r="Q9" i="22" s="1"/>
  <c r="M9" i="22"/>
  <c r="H9" i="22"/>
  <c r="O8" i="22"/>
  <c r="P8" i="22" s="1"/>
  <c r="Q8" i="22" s="1"/>
  <c r="M8" i="22"/>
  <c r="H8" i="22"/>
  <c r="O7" i="22"/>
  <c r="P7" i="22" s="1"/>
  <c r="Q7" i="22" s="1"/>
  <c r="M7" i="22"/>
  <c r="H7" i="22"/>
  <c r="V5" i="22"/>
  <c r="O70" i="21"/>
  <c r="P70" i="21" s="1"/>
  <c r="Q70" i="21" s="1"/>
  <c r="M70" i="21"/>
  <c r="O69" i="21"/>
  <c r="P69" i="21" s="1"/>
  <c r="Q69" i="21" s="1"/>
  <c r="M69" i="21"/>
  <c r="O68" i="21"/>
  <c r="P68" i="21" s="1"/>
  <c r="Q68" i="21" s="1"/>
  <c r="M68" i="21"/>
  <c r="O67" i="21"/>
  <c r="P67" i="21" s="1"/>
  <c r="Q67" i="21" s="1"/>
  <c r="M67" i="21"/>
  <c r="P66" i="21"/>
  <c r="Q66" i="21" s="1"/>
  <c r="O66" i="21"/>
  <c r="M66" i="21"/>
  <c r="O65" i="21"/>
  <c r="P65" i="21" s="1"/>
  <c r="Q65" i="21" s="1"/>
  <c r="M65" i="21"/>
  <c r="O64" i="21"/>
  <c r="P64" i="21" s="1"/>
  <c r="Q64" i="21" s="1"/>
  <c r="M64" i="21"/>
  <c r="O63" i="21"/>
  <c r="P63" i="21" s="1"/>
  <c r="Q63" i="21" s="1"/>
  <c r="M63" i="21"/>
  <c r="O62" i="21"/>
  <c r="P62" i="21" s="1"/>
  <c r="Q62" i="21" s="1"/>
  <c r="M62" i="21"/>
  <c r="O61" i="21"/>
  <c r="P61" i="21" s="1"/>
  <c r="Q61" i="21" s="1"/>
  <c r="M61" i="21"/>
  <c r="O60" i="21"/>
  <c r="P60" i="21" s="1"/>
  <c r="Q60" i="21" s="1"/>
  <c r="M60" i="21"/>
  <c r="O59" i="21"/>
  <c r="P59" i="21" s="1"/>
  <c r="Q59" i="21" s="1"/>
  <c r="M59" i="21"/>
  <c r="O58" i="21"/>
  <c r="P58" i="21" s="1"/>
  <c r="Q58" i="21" s="1"/>
  <c r="M58" i="21"/>
  <c r="O57" i="21"/>
  <c r="P57" i="21" s="1"/>
  <c r="Q57" i="21" s="1"/>
  <c r="M57" i="21"/>
  <c r="O56" i="21"/>
  <c r="P56" i="21" s="1"/>
  <c r="Q56" i="21" s="1"/>
  <c r="M56" i="21"/>
  <c r="O55" i="21"/>
  <c r="P55" i="21" s="1"/>
  <c r="Q55" i="21" s="1"/>
  <c r="M55" i="21"/>
  <c r="O54" i="21"/>
  <c r="P54" i="21" s="1"/>
  <c r="Q54" i="21" s="1"/>
  <c r="M54" i="21"/>
  <c r="O53" i="21"/>
  <c r="P53" i="21" s="1"/>
  <c r="Q53" i="21" s="1"/>
  <c r="M53" i="21"/>
  <c r="O52" i="21"/>
  <c r="P52" i="21" s="1"/>
  <c r="Q52" i="21" s="1"/>
  <c r="M52" i="21"/>
  <c r="O51" i="21"/>
  <c r="P51" i="21" s="1"/>
  <c r="Q51" i="21" s="1"/>
  <c r="M51" i="21"/>
  <c r="O50" i="21"/>
  <c r="P50" i="21" s="1"/>
  <c r="Q50" i="21" s="1"/>
  <c r="M50" i="21"/>
  <c r="O49" i="21"/>
  <c r="P49" i="21" s="1"/>
  <c r="Q49" i="21" s="1"/>
  <c r="M49" i="21"/>
  <c r="O48" i="21"/>
  <c r="P48" i="21" s="1"/>
  <c r="Q48" i="21" s="1"/>
  <c r="M48" i="21"/>
  <c r="O47" i="21"/>
  <c r="P47" i="21" s="1"/>
  <c r="Q47" i="21" s="1"/>
  <c r="M47" i="21"/>
  <c r="O46" i="21"/>
  <c r="P46" i="21" s="1"/>
  <c r="Q46" i="21" s="1"/>
  <c r="M46" i="21"/>
  <c r="O45" i="21"/>
  <c r="P45" i="21" s="1"/>
  <c r="Q45" i="21" s="1"/>
  <c r="M45" i="21"/>
  <c r="O44" i="21"/>
  <c r="P44" i="21" s="1"/>
  <c r="Q44" i="21" s="1"/>
  <c r="M44" i="21"/>
  <c r="A44" i="21"/>
  <c r="H20" i="21" s="1"/>
  <c r="O43" i="21"/>
  <c r="P43" i="21" s="1"/>
  <c r="Q43" i="21" s="1"/>
  <c r="M43" i="21"/>
  <c r="O42" i="21"/>
  <c r="P42" i="21" s="1"/>
  <c r="Q42" i="21" s="1"/>
  <c r="M42" i="21"/>
  <c r="O41" i="21"/>
  <c r="P41" i="21" s="1"/>
  <c r="Q41" i="21" s="1"/>
  <c r="M41" i="21"/>
  <c r="O40" i="21"/>
  <c r="P40" i="21" s="1"/>
  <c r="Q40" i="21" s="1"/>
  <c r="M40" i="21"/>
  <c r="O39" i="21"/>
  <c r="P39" i="21" s="1"/>
  <c r="Q39" i="21" s="1"/>
  <c r="M39" i="21"/>
  <c r="O38" i="21"/>
  <c r="P38" i="21" s="1"/>
  <c r="Q38" i="21" s="1"/>
  <c r="M38" i="21"/>
  <c r="O37" i="21"/>
  <c r="P37" i="21" s="1"/>
  <c r="Q37" i="21" s="1"/>
  <c r="M37" i="21"/>
  <c r="O36" i="21"/>
  <c r="P36" i="21" s="1"/>
  <c r="Q36" i="21" s="1"/>
  <c r="M36" i="21"/>
  <c r="O35" i="21"/>
  <c r="P35" i="21" s="1"/>
  <c r="Q35" i="21" s="1"/>
  <c r="M35" i="21"/>
  <c r="O34" i="21"/>
  <c r="P34" i="21" s="1"/>
  <c r="Q34" i="21" s="1"/>
  <c r="M34" i="21"/>
  <c r="O33" i="21"/>
  <c r="P33" i="21" s="1"/>
  <c r="Q33" i="21" s="1"/>
  <c r="M33" i="21"/>
  <c r="O32" i="21"/>
  <c r="P32" i="21" s="1"/>
  <c r="Q32" i="21" s="1"/>
  <c r="M32" i="21"/>
  <c r="O31" i="21"/>
  <c r="P31" i="21" s="1"/>
  <c r="Q31" i="21" s="1"/>
  <c r="M31" i="21"/>
  <c r="O30" i="21"/>
  <c r="P30" i="21" s="1"/>
  <c r="Q30" i="21" s="1"/>
  <c r="M30" i="21"/>
  <c r="O29" i="21"/>
  <c r="P29" i="21" s="1"/>
  <c r="Q29" i="21" s="1"/>
  <c r="M29" i="21"/>
  <c r="O28" i="21"/>
  <c r="P28" i="21" s="1"/>
  <c r="Q28" i="21" s="1"/>
  <c r="M28" i="21"/>
  <c r="O27" i="21"/>
  <c r="P27" i="21" s="1"/>
  <c r="Q27" i="21" s="1"/>
  <c r="M27" i="21"/>
  <c r="O26" i="21"/>
  <c r="P26" i="21" s="1"/>
  <c r="Q26" i="21" s="1"/>
  <c r="M26" i="21"/>
  <c r="O25" i="21"/>
  <c r="P25" i="21" s="1"/>
  <c r="Q25" i="21" s="1"/>
  <c r="M25" i="21"/>
  <c r="O24" i="21"/>
  <c r="P24" i="21" s="1"/>
  <c r="Q24" i="21" s="1"/>
  <c r="M24" i="21"/>
  <c r="O23" i="21"/>
  <c r="P23" i="21" s="1"/>
  <c r="Q23" i="21" s="1"/>
  <c r="M23" i="21"/>
  <c r="O22" i="21"/>
  <c r="P22" i="21" s="1"/>
  <c r="Q22" i="21" s="1"/>
  <c r="M22" i="21"/>
  <c r="O21" i="21"/>
  <c r="P21" i="21" s="1"/>
  <c r="Q21" i="21" s="1"/>
  <c r="M21" i="21"/>
  <c r="F21" i="21"/>
  <c r="O20" i="21"/>
  <c r="P20" i="21" s="1"/>
  <c r="Q20" i="21" s="1"/>
  <c r="M20" i="21"/>
  <c r="O19" i="21"/>
  <c r="P19" i="21" s="1"/>
  <c r="Q19" i="21" s="1"/>
  <c r="M19" i="21"/>
  <c r="O18" i="21"/>
  <c r="P18" i="21" s="1"/>
  <c r="Q18" i="21" s="1"/>
  <c r="M18" i="21"/>
  <c r="O17" i="21"/>
  <c r="P17" i="21" s="1"/>
  <c r="Q17" i="21" s="1"/>
  <c r="M17" i="21"/>
  <c r="H17" i="21"/>
  <c r="O16" i="21"/>
  <c r="P16" i="21" s="1"/>
  <c r="Q16" i="21" s="1"/>
  <c r="M16" i="21"/>
  <c r="H16" i="21"/>
  <c r="O15" i="21"/>
  <c r="P15" i="21" s="1"/>
  <c r="Q15" i="21" s="1"/>
  <c r="M15" i="21"/>
  <c r="O14" i="21"/>
  <c r="P14" i="21" s="1"/>
  <c r="Q14" i="21" s="1"/>
  <c r="M14" i="21"/>
  <c r="H14" i="21"/>
  <c r="O13" i="21"/>
  <c r="P13" i="21" s="1"/>
  <c r="Q13" i="21" s="1"/>
  <c r="M13" i="21"/>
  <c r="O12" i="21"/>
  <c r="P12" i="21" s="1"/>
  <c r="Q12" i="21" s="1"/>
  <c r="M12" i="21"/>
  <c r="O11" i="21"/>
  <c r="P11" i="21" s="1"/>
  <c r="Q11" i="21" s="1"/>
  <c r="M11" i="21"/>
  <c r="H11" i="21"/>
  <c r="O10" i="21"/>
  <c r="P10" i="21" s="1"/>
  <c r="Q10" i="21" s="1"/>
  <c r="M10" i="21"/>
  <c r="O9" i="21"/>
  <c r="P9" i="21" s="1"/>
  <c r="Q9" i="21" s="1"/>
  <c r="M9" i="21"/>
  <c r="O8" i="21"/>
  <c r="P8" i="21" s="1"/>
  <c r="Q8" i="21" s="1"/>
  <c r="M8" i="21"/>
  <c r="O7" i="21"/>
  <c r="P7" i="21" s="1"/>
  <c r="Q7" i="21" s="1"/>
  <c r="M7" i="21"/>
  <c r="V5" i="21"/>
  <c r="O70" i="20"/>
  <c r="P70" i="20" s="1"/>
  <c r="Q70" i="20" s="1"/>
  <c r="M70" i="20"/>
  <c r="O69" i="20"/>
  <c r="P69" i="20" s="1"/>
  <c r="Q69" i="20" s="1"/>
  <c r="M69" i="20"/>
  <c r="O68" i="20"/>
  <c r="P68" i="20" s="1"/>
  <c r="Q68" i="20" s="1"/>
  <c r="M68" i="20"/>
  <c r="O67" i="20"/>
  <c r="P67" i="20" s="1"/>
  <c r="Q67" i="20" s="1"/>
  <c r="M67" i="20"/>
  <c r="O66" i="20"/>
  <c r="P66" i="20" s="1"/>
  <c r="Q66" i="20" s="1"/>
  <c r="M66" i="20"/>
  <c r="O65" i="20"/>
  <c r="P65" i="20" s="1"/>
  <c r="Q65" i="20" s="1"/>
  <c r="M65" i="20"/>
  <c r="O64" i="20"/>
  <c r="P64" i="20" s="1"/>
  <c r="Q64" i="20" s="1"/>
  <c r="M64" i="20"/>
  <c r="O63" i="20"/>
  <c r="P63" i="20" s="1"/>
  <c r="Q63" i="20" s="1"/>
  <c r="M63" i="20"/>
  <c r="O62" i="20"/>
  <c r="P62" i="20" s="1"/>
  <c r="Q62" i="20" s="1"/>
  <c r="M62" i="20"/>
  <c r="O61" i="20"/>
  <c r="P61" i="20" s="1"/>
  <c r="Q61" i="20" s="1"/>
  <c r="M61" i="20"/>
  <c r="O60" i="20"/>
  <c r="P60" i="20" s="1"/>
  <c r="Q60" i="20" s="1"/>
  <c r="M60" i="20"/>
  <c r="O59" i="20"/>
  <c r="P59" i="20" s="1"/>
  <c r="Q59" i="20" s="1"/>
  <c r="M59" i="20"/>
  <c r="O58" i="20"/>
  <c r="P58" i="20" s="1"/>
  <c r="Q58" i="20" s="1"/>
  <c r="M58" i="20"/>
  <c r="O57" i="20"/>
  <c r="P57" i="20" s="1"/>
  <c r="Q57" i="20" s="1"/>
  <c r="M57" i="20"/>
  <c r="O56" i="20"/>
  <c r="P56" i="20" s="1"/>
  <c r="Q56" i="20" s="1"/>
  <c r="M56" i="20"/>
  <c r="O55" i="20"/>
  <c r="P55" i="20" s="1"/>
  <c r="Q55" i="20" s="1"/>
  <c r="M55" i="20"/>
  <c r="O54" i="20"/>
  <c r="P54" i="20" s="1"/>
  <c r="Q54" i="20" s="1"/>
  <c r="M54" i="20"/>
  <c r="O53" i="20"/>
  <c r="P53" i="20" s="1"/>
  <c r="Q53" i="20" s="1"/>
  <c r="M53" i="20"/>
  <c r="O52" i="20"/>
  <c r="P52" i="20" s="1"/>
  <c r="Q52" i="20" s="1"/>
  <c r="M52" i="20"/>
  <c r="O51" i="20"/>
  <c r="P51" i="20" s="1"/>
  <c r="Q51" i="20" s="1"/>
  <c r="M51" i="20"/>
  <c r="O50" i="20"/>
  <c r="P50" i="20" s="1"/>
  <c r="Q50" i="20" s="1"/>
  <c r="M50" i="20"/>
  <c r="O49" i="20"/>
  <c r="P49" i="20" s="1"/>
  <c r="Q49" i="20" s="1"/>
  <c r="M49" i="20"/>
  <c r="O48" i="20"/>
  <c r="P48" i="20" s="1"/>
  <c r="Q48" i="20" s="1"/>
  <c r="M48" i="20"/>
  <c r="O47" i="20"/>
  <c r="P47" i="20" s="1"/>
  <c r="Q47" i="20" s="1"/>
  <c r="M47" i="20"/>
  <c r="O46" i="20"/>
  <c r="P46" i="20" s="1"/>
  <c r="Q46" i="20" s="1"/>
  <c r="M46" i="20"/>
  <c r="O45" i="20"/>
  <c r="P45" i="20" s="1"/>
  <c r="Q45" i="20" s="1"/>
  <c r="M45" i="20"/>
  <c r="O44" i="20"/>
  <c r="P44" i="20" s="1"/>
  <c r="Q44" i="20" s="1"/>
  <c r="M44" i="20"/>
  <c r="A44" i="20"/>
  <c r="H20" i="20" s="1"/>
  <c r="O43" i="20"/>
  <c r="P43" i="20" s="1"/>
  <c r="Q43" i="20" s="1"/>
  <c r="M43" i="20"/>
  <c r="O42" i="20"/>
  <c r="P42" i="20" s="1"/>
  <c r="Q42" i="20" s="1"/>
  <c r="M42" i="20"/>
  <c r="O41" i="20"/>
  <c r="P41" i="20" s="1"/>
  <c r="Q41" i="20" s="1"/>
  <c r="M41" i="20"/>
  <c r="O40" i="20"/>
  <c r="P40" i="20" s="1"/>
  <c r="Q40" i="20" s="1"/>
  <c r="M40" i="20"/>
  <c r="O39" i="20"/>
  <c r="P39" i="20" s="1"/>
  <c r="Q39" i="20" s="1"/>
  <c r="M39" i="20"/>
  <c r="O38" i="20"/>
  <c r="P38" i="20" s="1"/>
  <c r="Q38" i="20" s="1"/>
  <c r="M38" i="20"/>
  <c r="O37" i="20"/>
  <c r="P37" i="20" s="1"/>
  <c r="Q37" i="20" s="1"/>
  <c r="M37" i="20"/>
  <c r="O36" i="20"/>
  <c r="P36" i="20" s="1"/>
  <c r="Q36" i="20" s="1"/>
  <c r="M36" i="20"/>
  <c r="O35" i="20"/>
  <c r="P35" i="20" s="1"/>
  <c r="Q35" i="20" s="1"/>
  <c r="M35" i="20"/>
  <c r="O34" i="20"/>
  <c r="P34" i="20" s="1"/>
  <c r="Q34" i="20" s="1"/>
  <c r="M34" i="20"/>
  <c r="O33" i="20"/>
  <c r="P33" i="20" s="1"/>
  <c r="Q33" i="20" s="1"/>
  <c r="M33" i="20"/>
  <c r="O32" i="20"/>
  <c r="P32" i="20" s="1"/>
  <c r="Q32" i="20" s="1"/>
  <c r="M32" i="20"/>
  <c r="O31" i="20"/>
  <c r="P31" i="20" s="1"/>
  <c r="Q31" i="20" s="1"/>
  <c r="M31" i="20"/>
  <c r="O30" i="20"/>
  <c r="P30" i="20" s="1"/>
  <c r="Q30" i="20" s="1"/>
  <c r="M30" i="20"/>
  <c r="O29" i="20"/>
  <c r="P29" i="20" s="1"/>
  <c r="Q29" i="20" s="1"/>
  <c r="M29" i="20"/>
  <c r="O28" i="20"/>
  <c r="P28" i="20" s="1"/>
  <c r="Q28" i="20" s="1"/>
  <c r="M28" i="20"/>
  <c r="O27" i="20"/>
  <c r="P27" i="20" s="1"/>
  <c r="Q27" i="20" s="1"/>
  <c r="M27" i="20"/>
  <c r="O26" i="20"/>
  <c r="P26" i="20" s="1"/>
  <c r="Q26" i="20" s="1"/>
  <c r="M26" i="20"/>
  <c r="O25" i="20"/>
  <c r="P25" i="20" s="1"/>
  <c r="Q25" i="20" s="1"/>
  <c r="M25" i="20"/>
  <c r="O24" i="20"/>
  <c r="P24" i="20" s="1"/>
  <c r="Q24" i="20" s="1"/>
  <c r="M24" i="20"/>
  <c r="O23" i="20"/>
  <c r="P23" i="20" s="1"/>
  <c r="Q23" i="20" s="1"/>
  <c r="M23" i="20"/>
  <c r="O22" i="20"/>
  <c r="P22" i="20" s="1"/>
  <c r="Q22" i="20" s="1"/>
  <c r="M22" i="20"/>
  <c r="O21" i="20"/>
  <c r="P21" i="20" s="1"/>
  <c r="Q21" i="20" s="1"/>
  <c r="M21" i="20"/>
  <c r="G21" i="20"/>
  <c r="F21" i="20"/>
  <c r="O20" i="20"/>
  <c r="P20" i="20" s="1"/>
  <c r="Q20" i="20" s="1"/>
  <c r="M20" i="20"/>
  <c r="O19" i="20"/>
  <c r="P19" i="20" s="1"/>
  <c r="Q19" i="20" s="1"/>
  <c r="M19" i="20"/>
  <c r="O18" i="20"/>
  <c r="P18" i="20" s="1"/>
  <c r="Q18" i="20" s="1"/>
  <c r="M18" i="20"/>
  <c r="O17" i="20"/>
  <c r="P17" i="20" s="1"/>
  <c r="Q17" i="20" s="1"/>
  <c r="M17" i="20"/>
  <c r="O16" i="20"/>
  <c r="P16" i="20" s="1"/>
  <c r="Q16" i="20" s="1"/>
  <c r="M16" i="20"/>
  <c r="O15" i="20"/>
  <c r="P15" i="20" s="1"/>
  <c r="Q15" i="20" s="1"/>
  <c r="M15" i="20"/>
  <c r="H15" i="20"/>
  <c r="O14" i="20"/>
  <c r="P14" i="20" s="1"/>
  <c r="Q14" i="20" s="1"/>
  <c r="M14" i="20"/>
  <c r="O13" i="20"/>
  <c r="P13" i="20" s="1"/>
  <c r="Q13" i="20" s="1"/>
  <c r="M13" i="20"/>
  <c r="H13" i="20"/>
  <c r="O12" i="20"/>
  <c r="P12" i="20" s="1"/>
  <c r="Q12" i="20" s="1"/>
  <c r="M12" i="20"/>
  <c r="O11" i="20"/>
  <c r="P11" i="20" s="1"/>
  <c r="Q11" i="20" s="1"/>
  <c r="M11" i="20"/>
  <c r="O10" i="20"/>
  <c r="P10" i="20" s="1"/>
  <c r="Q10" i="20" s="1"/>
  <c r="M10" i="20"/>
  <c r="O9" i="20"/>
  <c r="P9" i="20" s="1"/>
  <c r="Q9" i="20" s="1"/>
  <c r="M9" i="20"/>
  <c r="O8" i="20"/>
  <c r="P8" i="20" s="1"/>
  <c r="Q8" i="20" s="1"/>
  <c r="M8" i="20"/>
  <c r="O7" i="20"/>
  <c r="P7" i="20" s="1"/>
  <c r="Q7" i="20" s="1"/>
  <c r="M7" i="20"/>
  <c r="V5" i="20"/>
  <c r="O70" i="19"/>
  <c r="P70" i="19" s="1"/>
  <c r="Q70" i="19" s="1"/>
  <c r="M70" i="19"/>
  <c r="O69" i="19"/>
  <c r="P69" i="19" s="1"/>
  <c r="Q69" i="19" s="1"/>
  <c r="M69" i="19"/>
  <c r="O68" i="19"/>
  <c r="P68" i="19" s="1"/>
  <c r="Q68" i="19" s="1"/>
  <c r="M68" i="19"/>
  <c r="O67" i="19"/>
  <c r="P67" i="19" s="1"/>
  <c r="Q67" i="19" s="1"/>
  <c r="M67" i="19"/>
  <c r="O66" i="19"/>
  <c r="P66" i="19" s="1"/>
  <c r="Q66" i="19" s="1"/>
  <c r="M66" i="19"/>
  <c r="O65" i="19"/>
  <c r="P65" i="19" s="1"/>
  <c r="Q65" i="19" s="1"/>
  <c r="M65" i="19"/>
  <c r="O64" i="19"/>
  <c r="P64" i="19" s="1"/>
  <c r="Q64" i="19" s="1"/>
  <c r="M64" i="19"/>
  <c r="O63" i="19"/>
  <c r="P63" i="19" s="1"/>
  <c r="Q63" i="19" s="1"/>
  <c r="M63" i="19"/>
  <c r="O62" i="19"/>
  <c r="P62" i="19" s="1"/>
  <c r="Q62" i="19" s="1"/>
  <c r="M62" i="19"/>
  <c r="O61" i="19"/>
  <c r="P61" i="19" s="1"/>
  <c r="Q61" i="19" s="1"/>
  <c r="M61" i="19"/>
  <c r="O60" i="19"/>
  <c r="P60" i="19" s="1"/>
  <c r="Q60" i="19" s="1"/>
  <c r="M60" i="19"/>
  <c r="O59" i="19"/>
  <c r="P59" i="19" s="1"/>
  <c r="Q59" i="19" s="1"/>
  <c r="M59" i="19"/>
  <c r="O58" i="19"/>
  <c r="P58" i="19" s="1"/>
  <c r="Q58" i="19" s="1"/>
  <c r="M58" i="19"/>
  <c r="O57" i="19"/>
  <c r="P57" i="19" s="1"/>
  <c r="Q57" i="19" s="1"/>
  <c r="M57" i="19"/>
  <c r="O56" i="19"/>
  <c r="P56" i="19" s="1"/>
  <c r="Q56" i="19" s="1"/>
  <c r="M56" i="19"/>
  <c r="O55" i="19"/>
  <c r="P55" i="19" s="1"/>
  <c r="Q55" i="19" s="1"/>
  <c r="M55" i="19"/>
  <c r="O54" i="19"/>
  <c r="P54" i="19" s="1"/>
  <c r="Q54" i="19" s="1"/>
  <c r="M54" i="19"/>
  <c r="O53" i="19"/>
  <c r="P53" i="19" s="1"/>
  <c r="Q53" i="19" s="1"/>
  <c r="M53" i="19"/>
  <c r="O52" i="19"/>
  <c r="P52" i="19" s="1"/>
  <c r="Q52" i="19" s="1"/>
  <c r="M52" i="19"/>
  <c r="O51" i="19"/>
  <c r="P51" i="19" s="1"/>
  <c r="Q51" i="19" s="1"/>
  <c r="M51" i="19"/>
  <c r="O50" i="19"/>
  <c r="P50" i="19" s="1"/>
  <c r="Q50" i="19" s="1"/>
  <c r="M50" i="19"/>
  <c r="O49" i="19"/>
  <c r="P49" i="19" s="1"/>
  <c r="Q49" i="19" s="1"/>
  <c r="M49" i="19"/>
  <c r="O48" i="19"/>
  <c r="P48" i="19" s="1"/>
  <c r="Q48" i="19" s="1"/>
  <c r="M48" i="19"/>
  <c r="O47" i="19"/>
  <c r="P47" i="19" s="1"/>
  <c r="Q47" i="19" s="1"/>
  <c r="M47" i="19"/>
  <c r="O46" i="19"/>
  <c r="P46" i="19" s="1"/>
  <c r="Q46" i="19" s="1"/>
  <c r="M46" i="19"/>
  <c r="O45" i="19"/>
  <c r="P45" i="19" s="1"/>
  <c r="Q45" i="19" s="1"/>
  <c r="M45" i="19"/>
  <c r="O44" i="19"/>
  <c r="P44" i="19" s="1"/>
  <c r="Q44" i="19" s="1"/>
  <c r="M44" i="19"/>
  <c r="A44" i="19"/>
  <c r="O43" i="19"/>
  <c r="P43" i="19" s="1"/>
  <c r="Q43" i="19" s="1"/>
  <c r="M43" i="19"/>
  <c r="O42" i="19"/>
  <c r="P42" i="19" s="1"/>
  <c r="Q42" i="19" s="1"/>
  <c r="M42" i="19"/>
  <c r="O41" i="19"/>
  <c r="P41" i="19" s="1"/>
  <c r="Q41" i="19" s="1"/>
  <c r="M41" i="19"/>
  <c r="O40" i="19"/>
  <c r="P40" i="19" s="1"/>
  <c r="Q40" i="19" s="1"/>
  <c r="M40" i="19"/>
  <c r="O39" i="19"/>
  <c r="P39" i="19" s="1"/>
  <c r="Q39" i="19" s="1"/>
  <c r="M39" i="19"/>
  <c r="O38" i="19"/>
  <c r="P38" i="19" s="1"/>
  <c r="Q38" i="19" s="1"/>
  <c r="M38" i="19"/>
  <c r="O37" i="19"/>
  <c r="P37" i="19" s="1"/>
  <c r="Q37" i="19" s="1"/>
  <c r="M37" i="19"/>
  <c r="O36" i="19"/>
  <c r="P36" i="19" s="1"/>
  <c r="Q36" i="19" s="1"/>
  <c r="M36" i="19"/>
  <c r="O35" i="19"/>
  <c r="P35" i="19" s="1"/>
  <c r="Q35" i="19" s="1"/>
  <c r="M35" i="19"/>
  <c r="O34" i="19"/>
  <c r="P34" i="19" s="1"/>
  <c r="Q34" i="19" s="1"/>
  <c r="M34" i="19"/>
  <c r="O33" i="19"/>
  <c r="P33" i="19" s="1"/>
  <c r="Q33" i="19" s="1"/>
  <c r="M33" i="19"/>
  <c r="O32" i="19"/>
  <c r="P32" i="19" s="1"/>
  <c r="Q32" i="19" s="1"/>
  <c r="M32" i="19"/>
  <c r="O31" i="19"/>
  <c r="P31" i="19" s="1"/>
  <c r="Q31" i="19" s="1"/>
  <c r="M31" i="19"/>
  <c r="O30" i="19"/>
  <c r="P30" i="19" s="1"/>
  <c r="Q30" i="19" s="1"/>
  <c r="M30" i="19"/>
  <c r="O29" i="19"/>
  <c r="P29" i="19" s="1"/>
  <c r="Q29" i="19" s="1"/>
  <c r="M29" i="19"/>
  <c r="O28" i="19"/>
  <c r="P28" i="19" s="1"/>
  <c r="Q28" i="19" s="1"/>
  <c r="M28" i="19"/>
  <c r="O27" i="19"/>
  <c r="P27" i="19" s="1"/>
  <c r="Q27" i="19" s="1"/>
  <c r="M27" i="19"/>
  <c r="O26" i="19"/>
  <c r="P26" i="19" s="1"/>
  <c r="Q26" i="19" s="1"/>
  <c r="M26" i="19"/>
  <c r="O25" i="19"/>
  <c r="P25" i="19" s="1"/>
  <c r="Q25" i="19" s="1"/>
  <c r="M25" i="19"/>
  <c r="O24" i="19"/>
  <c r="P24" i="19" s="1"/>
  <c r="Q24" i="19" s="1"/>
  <c r="M24" i="19"/>
  <c r="O23" i="19"/>
  <c r="P23" i="19" s="1"/>
  <c r="Q23" i="19" s="1"/>
  <c r="M23" i="19"/>
  <c r="O22" i="19"/>
  <c r="P22" i="19" s="1"/>
  <c r="Q22" i="19" s="1"/>
  <c r="M22" i="19"/>
  <c r="O21" i="19"/>
  <c r="P21" i="19" s="1"/>
  <c r="Q21" i="19" s="1"/>
  <c r="M21" i="19"/>
  <c r="H21" i="19"/>
  <c r="F21" i="19"/>
  <c r="O20" i="19"/>
  <c r="P20" i="19" s="1"/>
  <c r="Q20" i="19" s="1"/>
  <c r="M20" i="19"/>
  <c r="H20" i="19"/>
  <c r="O19" i="19"/>
  <c r="P19" i="19" s="1"/>
  <c r="Q19" i="19" s="1"/>
  <c r="M19" i="19"/>
  <c r="H19" i="19"/>
  <c r="O18" i="19"/>
  <c r="P18" i="19" s="1"/>
  <c r="Q18" i="19" s="1"/>
  <c r="M18" i="19"/>
  <c r="H18" i="19"/>
  <c r="O17" i="19"/>
  <c r="P17" i="19" s="1"/>
  <c r="Q17" i="19" s="1"/>
  <c r="M17" i="19"/>
  <c r="H17" i="19"/>
  <c r="O16" i="19"/>
  <c r="P16" i="19" s="1"/>
  <c r="Q16" i="19" s="1"/>
  <c r="M16" i="19"/>
  <c r="H16" i="19"/>
  <c r="O15" i="19"/>
  <c r="P15" i="19" s="1"/>
  <c r="Q15" i="19" s="1"/>
  <c r="M15" i="19"/>
  <c r="H15" i="19"/>
  <c r="O14" i="19"/>
  <c r="P14" i="19" s="1"/>
  <c r="Q14" i="19" s="1"/>
  <c r="M14" i="19"/>
  <c r="H14" i="19"/>
  <c r="O13" i="19"/>
  <c r="P13" i="19" s="1"/>
  <c r="Q13" i="19" s="1"/>
  <c r="M13" i="19"/>
  <c r="H13" i="19"/>
  <c r="O12" i="19"/>
  <c r="P12" i="19" s="1"/>
  <c r="Q12" i="19" s="1"/>
  <c r="M12" i="19"/>
  <c r="H12" i="19"/>
  <c r="O11" i="19"/>
  <c r="P11" i="19" s="1"/>
  <c r="Q11" i="19" s="1"/>
  <c r="M11" i="19"/>
  <c r="H11" i="19"/>
  <c r="O10" i="19"/>
  <c r="P10" i="19" s="1"/>
  <c r="Q10" i="19" s="1"/>
  <c r="M10" i="19"/>
  <c r="H10" i="19"/>
  <c r="O9" i="19"/>
  <c r="P9" i="19" s="1"/>
  <c r="Q9" i="19" s="1"/>
  <c r="M9" i="19"/>
  <c r="H9" i="19"/>
  <c r="O8" i="19"/>
  <c r="P8" i="19" s="1"/>
  <c r="Q8" i="19" s="1"/>
  <c r="M8" i="19"/>
  <c r="H8" i="19"/>
  <c r="O7" i="19"/>
  <c r="P7" i="19" s="1"/>
  <c r="Q7" i="19" s="1"/>
  <c r="M7" i="19"/>
  <c r="H7" i="19"/>
  <c r="V5" i="19"/>
  <c r="M70" i="6"/>
  <c r="O40" i="6"/>
  <c r="P40" i="6" s="1"/>
  <c r="Q40" i="6" s="1"/>
  <c r="O41" i="6"/>
  <c r="P41" i="6" s="1"/>
  <c r="Q41" i="6" s="1"/>
  <c r="O42" i="6"/>
  <c r="P42" i="6" s="1"/>
  <c r="Q42" i="6" s="1"/>
  <c r="O43" i="6"/>
  <c r="P43" i="6" s="1"/>
  <c r="Q43" i="6" s="1"/>
  <c r="O44" i="6"/>
  <c r="P44" i="6" s="1"/>
  <c r="Q44" i="6" s="1"/>
  <c r="O45" i="6"/>
  <c r="P45" i="6" s="1"/>
  <c r="Q45" i="6" s="1"/>
  <c r="O46" i="6"/>
  <c r="P46" i="6" s="1"/>
  <c r="Q46" i="6" s="1"/>
  <c r="O47" i="6"/>
  <c r="P47" i="6" s="1"/>
  <c r="Q47" i="6" s="1"/>
  <c r="O48" i="6"/>
  <c r="P48" i="6" s="1"/>
  <c r="Q48" i="6" s="1"/>
  <c r="O49" i="6"/>
  <c r="P49" i="6" s="1"/>
  <c r="Q49" i="6" s="1"/>
  <c r="O50" i="6"/>
  <c r="P50" i="6" s="1"/>
  <c r="Q50" i="6" s="1"/>
  <c r="O51" i="6"/>
  <c r="P51" i="6" s="1"/>
  <c r="Q51" i="6" s="1"/>
  <c r="O52" i="6"/>
  <c r="P52" i="6" s="1"/>
  <c r="Q52" i="6" s="1"/>
  <c r="O53" i="6"/>
  <c r="P53" i="6" s="1"/>
  <c r="Q53" i="6" s="1"/>
  <c r="O54" i="6"/>
  <c r="P54" i="6" s="1"/>
  <c r="Q54" i="6" s="1"/>
  <c r="O55" i="6"/>
  <c r="P55" i="6" s="1"/>
  <c r="Q55" i="6" s="1"/>
  <c r="O56" i="6"/>
  <c r="P56" i="6" s="1"/>
  <c r="Q56" i="6" s="1"/>
  <c r="O57" i="6"/>
  <c r="P57" i="6" s="1"/>
  <c r="Q57" i="6" s="1"/>
  <c r="O58" i="6"/>
  <c r="P58" i="6" s="1"/>
  <c r="Q58" i="6" s="1"/>
  <c r="O59" i="6"/>
  <c r="P59" i="6" s="1"/>
  <c r="Q59" i="6" s="1"/>
  <c r="O60" i="6"/>
  <c r="P60" i="6" s="1"/>
  <c r="Q60" i="6" s="1"/>
  <c r="O61" i="6"/>
  <c r="P61" i="6" s="1"/>
  <c r="Q61" i="6" s="1"/>
  <c r="O62" i="6"/>
  <c r="P62" i="6" s="1"/>
  <c r="Q62" i="6" s="1"/>
  <c r="O63" i="6"/>
  <c r="P63" i="6" s="1"/>
  <c r="Q63" i="6" s="1"/>
  <c r="O64" i="6"/>
  <c r="P64" i="6" s="1"/>
  <c r="Q64" i="6" s="1"/>
  <c r="O65" i="6"/>
  <c r="P65" i="6" s="1"/>
  <c r="Q65" i="6" s="1"/>
  <c r="O66" i="6"/>
  <c r="P66" i="6" s="1"/>
  <c r="Q66" i="6" s="1"/>
  <c r="O67" i="6"/>
  <c r="P67" i="6" s="1"/>
  <c r="Q67" i="6" s="1"/>
  <c r="O68" i="6"/>
  <c r="P68" i="6" s="1"/>
  <c r="Q68" i="6" s="1"/>
  <c r="O69" i="6"/>
  <c r="P69" i="6" s="1"/>
  <c r="Q69" i="6" s="1"/>
  <c r="O70" i="6"/>
  <c r="P70" i="6" s="1"/>
  <c r="Q70" i="6" s="1"/>
  <c r="M69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F22" i="22" l="1"/>
  <c r="H22" i="22" s="1"/>
  <c r="V4" i="21"/>
  <c r="F22" i="19"/>
  <c r="H22" i="19" s="1"/>
  <c r="H14" i="23"/>
  <c r="H18" i="23"/>
  <c r="V4" i="23"/>
  <c r="H7" i="23"/>
  <c r="F22" i="23" s="1"/>
  <c r="H11" i="23"/>
  <c r="H15" i="23"/>
  <c r="H19" i="23"/>
  <c r="H21" i="23"/>
  <c r="H8" i="23"/>
  <c r="H12" i="23"/>
  <c r="H16" i="23"/>
  <c r="H20" i="23"/>
  <c r="H9" i="23"/>
  <c r="H13" i="23"/>
  <c r="V4" i="22"/>
  <c r="H7" i="21"/>
  <c r="F22" i="21" s="1"/>
  <c r="H22" i="21" s="1"/>
  <c r="H10" i="21"/>
  <c r="H12" i="21"/>
  <c r="H13" i="21"/>
  <c r="H21" i="21"/>
  <c r="H8" i="21"/>
  <c r="H9" i="21"/>
  <c r="H19" i="21"/>
  <c r="H15" i="21"/>
  <c r="H18" i="21"/>
  <c r="H10" i="20"/>
  <c r="H18" i="20"/>
  <c r="H9" i="20"/>
  <c r="H11" i="20"/>
  <c r="H17" i="20"/>
  <c r="H19" i="20"/>
  <c r="H21" i="20"/>
  <c r="H7" i="20"/>
  <c r="H8" i="20"/>
  <c r="H14" i="20"/>
  <c r="V4" i="20"/>
  <c r="F22" i="20"/>
  <c r="H12" i="20"/>
  <c r="H16" i="20"/>
  <c r="O19" i="6"/>
  <c r="P19" i="6" s="1"/>
  <c r="Q19" i="6" s="1"/>
  <c r="O20" i="6"/>
  <c r="P20" i="6" s="1"/>
  <c r="Q20" i="6" s="1"/>
  <c r="O21" i="6"/>
  <c r="P21" i="6" s="1"/>
  <c r="Q21" i="6" s="1"/>
  <c r="O22" i="6"/>
  <c r="P22" i="6" s="1"/>
  <c r="Q22" i="6" s="1"/>
  <c r="O23" i="6"/>
  <c r="P23" i="6" s="1"/>
  <c r="Q23" i="6" s="1"/>
  <c r="O24" i="6"/>
  <c r="P24" i="6" s="1"/>
  <c r="Q24" i="6" s="1"/>
  <c r="O25" i="6"/>
  <c r="P25" i="6" s="1"/>
  <c r="Q25" i="6" s="1"/>
  <c r="O26" i="6"/>
  <c r="P26" i="6" s="1"/>
  <c r="Q26" i="6" s="1"/>
  <c r="O27" i="6"/>
  <c r="P27" i="6" s="1"/>
  <c r="Q27" i="6" s="1"/>
  <c r="O28" i="6"/>
  <c r="P28" i="6" s="1"/>
  <c r="Q28" i="6" s="1"/>
  <c r="O29" i="6"/>
  <c r="P29" i="6" s="1"/>
  <c r="Q29" i="6" s="1"/>
  <c r="O30" i="6"/>
  <c r="P30" i="6" s="1"/>
  <c r="Q30" i="6" s="1"/>
  <c r="O31" i="6"/>
  <c r="P31" i="6" s="1"/>
  <c r="Q31" i="6" s="1"/>
  <c r="O32" i="6"/>
  <c r="P32" i="6" s="1"/>
  <c r="Q32" i="6" s="1"/>
  <c r="O33" i="6"/>
  <c r="P33" i="6" s="1"/>
  <c r="Q33" i="6" s="1"/>
  <c r="O34" i="6"/>
  <c r="P34" i="6" s="1"/>
  <c r="Q34" i="6" s="1"/>
  <c r="O35" i="6"/>
  <c r="P35" i="6" s="1"/>
  <c r="Q35" i="6" s="1"/>
  <c r="O36" i="6"/>
  <c r="P36" i="6" s="1"/>
  <c r="Q36" i="6" s="1"/>
  <c r="O37" i="6"/>
  <c r="P37" i="6" s="1"/>
  <c r="Q37" i="6" s="1"/>
  <c r="O38" i="6"/>
  <c r="P38" i="6" s="1"/>
  <c r="Q38" i="6" s="1"/>
  <c r="O39" i="6"/>
  <c r="P39" i="6" s="1"/>
  <c r="Q39" i="6" s="1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G22" i="22" l="1"/>
  <c r="F23" i="22" s="1"/>
  <c r="H23" i="22" s="1"/>
  <c r="G22" i="21"/>
  <c r="F23" i="21" s="1"/>
  <c r="H23" i="21" s="1"/>
  <c r="G22" i="19"/>
  <c r="F23" i="19" s="1"/>
  <c r="G23" i="19" s="1"/>
  <c r="F24" i="19" s="1"/>
  <c r="G22" i="23"/>
  <c r="I22" i="23" s="1"/>
  <c r="J22" i="23" s="1"/>
  <c r="K22" i="23" s="1"/>
  <c r="H22" i="23"/>
  <c r="G22" i="20"/>
  <c r="F23" i="20" s="1"/>
  <c r="H22" i="20"/>
  <c r="G23" i="22" l="1"/>
  <c r="F24" i="22" s="1"/>
  <c r="H24" i="22" s="1"/>
  <c r="I22" i="22"/>
  <c r="J22" i="22" s="1"/>
  <c r="K22" i="22" s="1"/>
  <c r="I22" i="21"/>
  <c r="J22" i="21" s="1"/>
  <c r="K22" i="21" s="1"/>
  <c r="G23" i="21"/>
  <c r="I23" i="21" s="1"/>
  <c r="J23" i="21" s="1"/>
  <c r="K23" i="21" s="1"/>
  <c r="H23" i="19"/>
  <c r="I22" i="19"/>
  <c r="J22" i="19" s="1"/>
  <c r="K22" i="19" s="1"/>
  <c r="F23" i="23"/>
  <c r="I22" i="20"/>
  <c r="J22" i="20" s="1"/>
  <c r="K22" i="20" s="1"/>
  <c r="H23" i="20"/>
  <c r="G23" i="20"/>
  <c r="I23" i="20" s="1"/>
  <c r="J23" i="20" s="1"/>
  <c r="K23" i="20" s="1"/>
  <c r="H24" i="19"/>
  <c r="G24" i="19"/>
  <c r="I24" i="19" s="1"/>
  <c r="J24" i="19" s="1"/>
  <c r="K24" i="19" s="1"/>
  <c r="I23" i="19"/>
  <c r="J23" i="19" s="1"/>
  <c r="K23" i="19" s="1"/>
  <c r="G24" i="22" l="1"/>
  <c r="F25" i="22" s="1"/>
  <c r="H25" i="22" s="1"/>
  <c r="I23" i="22"/>
  <c r="J23" i="22" s="1"/>
  <c r="K23" i="22" s="1"/>
  <c r="F24" i="21"/>
  <c r="H24" i="21" s="1"/>
  <c r="F24" i="20"/>
  <c r="G24" i="20" s="1"/>
  <c r="F25" i="20" s="1"/>
  <c r="F25" i="19"/>
  <c r="H25" i="19" s="1"/>
  <c r="H23" i="23"/>
  <c r="G23" i="23"/>
  <c r="I23" i="23" s="1"/>
  <c r="J23" i="23" s="1"/>
  <c r="K23" i="23" s="1"/>
  <c r="M18" i="6"/>
  <c r="V5" i="6"/>
  <c r="A44" i="6"/>
  <c r="H18" i="6" s="1"/>
  <c r="O18" i="6"/>
  <c r="P18" i="6" s="1"/>
  <c r="Q18" i="6" s="1"/>
  <c r="O17" i="6"/>
  <c r="P17" i="6" s="1"/>
  <c r="Q17" i="6" s="1"/>
  <c r="M17" i="6"/>
  <c r="O16" i="6"/>
  <c r="P16" i="6" s="1"/>
  <c r="Q16" i="6" s="1"/>
  <c r="M16" i="6"/>
  <c r="H16" i="6"/>
  <c r="O15" i="6"/>
  <c r="P15" i="6" s="1"/>
  <c r="Q15" i="6" s="1"/>
  <c r="M15" i="6"/>
  <c r="H15" i="6"/>
  <c r="O14" i="6"/>
  <c r="P14" i="6" s="1"/>
  <c r="Q14" i="6" s="1"/>
  <c r="M14" i="6"/>
  <c r="H14" i="6"/>
  <c r="O13" i="6"/>
  <c r="P13" i="6" s="1"/>
  <c r="Q13" i="6" s="1"/>
  <c r="M13" i="6"/>
  <c r="H13" i="6"/>
  <c r="O12" i="6"/>
  <c r="P12" i="6" s="1"/>
  <c r="Q12" i="6" s="1"/>
  <c r="M12" i="6"/>
  <c r="H12" i="6"/>
  <c r="O11" i="6"/>
  <c r="P11" i="6" s="1"/>
  <c r="Q11" i="6" s="1"/>
  <c r="M11" i="6"/>
  <c r="H11" i="6"/>
  <c r="O10" i="6"/>
  <c r="P10" i="6" s="1"/>
  <c r="Q10" i="6" s="1"/>
  <c r="M10" i="6"/>
  <c r="H10" i="6"/>
  <c r="O9" i="6"/>
  <c r="P9" i="6" s="1"/>
  <c r="Q9" i="6" s="1"/>
  <c r="M9" i="6"/>
  <c r="H9" i="6"/>
  <c r="O8" i="6"/>
  <c r="P8" i="6" s="1"/>
  <c r="Q8" i="6" s="1"/>
  <c r="M8" i="6"/>
  <c r="H8" i="6"/>
  <c r="O7" i="6"/>
  <c r="P7" i="6" s="1"/>
  <c r="Q7" i="6" s="1"/>
  <c r="M7" i="6"/>
  <c r="H7" i="6"/>
  <c r="I24" i="22" l="1"/>
  <c r="J24" i="22" s="1"/>
  <c r="K24" i="22" s="1"/>
  <c r="G25" i="22"/>
  <c r="I25" i="22" s="1"/>
  <c r="J25" i="22" s="1"/>
  <c r="K25" i="22" s="1"/>
  <c r="G24" i="21"/>
  <c r="I24" i="21" s="1"/>
  <c r="J24" i="21" s="1"/>
  <c r="K24" i="21" s="1"/>
  <c r="H24" i="20"/>
  <c r="G25" i="19"/>
  <c r="I25" i="19" s="1"/>
  <c r="J25" i="19" s="1"/>
  <c r="K25" i="19" s="1"/>
  <c r="F24" i="23"/>
  <c r="H24" i="23" s="1"/>
  <c r="I24" i="20"/>
  <c r="J24" i="20" s="1"/>
  <c r="K24" i="20" s="1"/>
  <c r="G25" i="20"/>
  <c r="I25" i="20" s="1"/>
  <c r="J25" i="20" s="1"/>
  <c r="K25" i="20" s="1"/>
  <c r="H25" i="20"/>
  <c r="V4" i="6"/>
  <c r="F22" i="6"/>
  <c r="G22" i="6" s="1"/>
  <c r="H17" i="6"/>
  <c r="H19" i="6"/>
  <c r="H20" i="6"/>
  <c r="H21" i="6"/>
  <c r="F26" i="22" l="1"/>
  <c r="G26" i="22" s="1"/>
  <c r="F27" i="22" s="1"/>
  <c r="H27" i="22" s="1"/>
  <c r="F25" i="21"/>
  <c r="H25" i="21" s="1"/>
  <c r="F26" i="20"/>
  <c r="G26" i="20" s="1"/>
  <c r="F27" i="20" s="1"/>
  <c r="F26" i="19"/>
  <c r="G24" i="23"/>
  <c r="I24" i="23" s="1"/>
  <c r="J24" i="23" s="1"/>
  <c r="K24" i="23" s="1"/>
  <c r="I22" i="6"/>
  <c r="H22" i="6"/>
  <c r="G27" i="22" l="1"/>
  <c r="I27" i="22" s="1"/>
  <c r="J27" i="22" s="1"/>
  <c r="K27" i="22" s="1"/>
  <c r="I26" i="22"/>
  <c r="J26" i="22" s="1"/>
  <c r="K26" i="22" s="1"/>
  <c r="H26" i="22"/>
  <c r="G25" i="21"/>
  <c r="I25" i="21" s="1"/>
  <c r="J25" i="21" s="1"/>
  <c r="K25" i="21" s="1"/>
  <c r="H26" i="20"/>
  <c r="G26" i="19"/>
  <c r="H26" i="19"/>
  <c r="F25" i="23"/>
  <c r="H25" i="23" s="1"/>
  <c r="I26" i="20"/>
  <c r="J26" i="20" s="1"/>
  <c r="K26" i="20" s="1"/>
  <c r="H27" i="20"/>
  <c r="G27" i="20"/>
  <c r="I27" i="20" s="1"/>
  <c r="J27" i="20" s="1"/>
  <c r="K27" i="20" s="1"/>
  <c r="F23" i="6"/>
  <c r="G23" i="6" s="1"/>
  <c r="J22" i="6"/>
  <c r="K22" i="6" s="1"/>
  <c r="F28" i="22" l="1"/>
  <c r="G28" i="22" s="1"/>
  <c r="I28" i="22" s="1"/>
  <c r="J28" i="22" s="1"/>
  <c r="K28" i="22" s="1"/>
  <c r="F26" i="21"/>
  <c r="H26" i="21" s="1"/>
  <c r="F28" i="20"/>
  <c r="G28" i="20" s="1"/>
  <c r="I28" i="20" s="1"/>
  <c r="J28" i="20" s="1"/>
  <c r="K28" i="20" s="1"/>
  <c r="I26" i="19"/>
  <c r="J26" i="19" s="1"/>
  <c r="K26" i="19" s="1"/>
  <c r="F27" i="19"/>
  <c r="G25" i="23"/>
  <c r="F26" i="23" s="1"/>
  <c r="G26" i="23" s="1"/>
  <c r="F27" i="23" s="1"/>
  <c r="G27" i="23" s="1"/>
  <c r="I27" i="23" s="1"/>
  <c r="J27" i="23" s="1"/>
  <c r="K27" i="23" s="1"/>
  <c r="F24" i="6"/>
  <c r="G24" i="6" s="1"/>
  <c r="H23" i="6"/>
  <c r="F29" i="22" l="1"/>
  <c r="G29" i="22" s="1"/>
  <c r="I29" i="22" s="1"/>
  <c r="J29" i="22" s="1"/>
  <c r="K29" i="22" s="1"/>
  <c r="H28" i="22"/>
  <c r="G26" i="21"/>
  <c r="I26" i="21" s="1"/>
  <c r="J26" i="21" s="1"/>
  <c r="K26" i="21" s="1"/>
  <c r="H28" i="20"/>
  <c r="F29" i="20"/>
  <c r="H29" i="20" s="1"/>
  <c r="H27" i="19"/>
  <c r="G27" i="19"/>
  <c r="I27" i="19" s="1"/>
  <c r="J27" i="19" s="1"/>
  <c r="K27" i="19" s="1"/>
  <c r="I25" i="23"/>
  <c r="J25" i="23" s="1"/>
  <c r="K25" i="23" s="1"/>
  <c r="H26" i="23"/>
  <c r="H27" i="23"/>
  <c r="I26" i="23"/>
  <c r="J26" i="23" s="1"/>
  <c r="K26" i="23" s="1"/>
  <c r="F28" i="23"/>
  <c r="H28" i="23" s="1"/>
  <c r="I23" i="6"/>
  <c r="J23" i="6" s="1"/>
  <c r="K23" i="6" s="1"/>
  <c r="F25" i="6"/>
  <c r="G25" i="6" s="1"/>
  <c r="H24" i="6"/>
  <c r="F30" i="22" l="1"/>
  <c r="G30" i="22" s="1"/>
  <c r="F31" i="22" s="1"/>
  <c r="H31" i="22" s="1"/>
  <c r="H29" i="22"/>
  <c r="F27" i="21"/>
  <c r="G27" i="21" s="1"/>
  <c r="I27" i="21" s="1"/>
  <c r="J27" i="21" s="1"/>
  <c r="K27" i="21" s="1"/>
  <c r="G29" i="20"/>
  <c r="I29" i="20" s="1"/>
  <c r="J29" i="20" s="1"/>
  <c r="K29" i="20" s="1"/>
  <c r="F28" i="19"/>
  <c r="G28" i="23"/>
  <c r="F29" i="23" s="1"/>
  <c r="G29" i="23" s="1"/>
  <c r="F30" i="23" s="1"/>
  <c r="I30" i="22"/>
  <c r="J30" i="22" s="1"/>
  <c r="K30" i="22" s="1"/>
  <c r="H25" i="6"/>
  <c r="I24" i="6"/>
  <c r="J24" i="6" s="1"/>
  <c r="K24" i="6" s="1"/>
  <c r="I25" i="6"/>
  <c r="G31" i="22" l="1"/>
  <c r="I31" i="22" s="1"/>
  <c r="J31" i="22" s="1"/>
  <c r="K31" i="22" s="1"/>
  <c r="H30" i="22"/>
  <c r="F32" i="22"/>
  <c r="G32" i="22" s="1"/>
  <c r="I32" i="22" s="1"/>
  <c r="J32" i="22" s="1"/>
  <c r="K32" i="22" s="1"/>
  <c r="F28" i="21"/>
  <c r="G28" i="21" s="1"/>
  <c r="I28" i="21" s="1"/>
  <c r="J28" i="21" s="1"/>
  <c r="K28" i="21" s="1"/>
  <c r="H27" i="21"/>
  <c r="F30" i="20"/>
  <c r="G28" i="19"/>
  <c r="H28" i="19"/>
  <c r="H29" i="23"/>
  <c r="I28" i="23"/>
  <c r="J28" i="23" s="1"/>
  <c r="K28" i="23" s="1"/>
  <c r="G30" i="23"/>
  <c r="I30" i="23" s="1"/>
  <c r="J30" i="23" s="1"/>
  <c r="K30" i="23" s="1"/>
  <c r="H30" i="23"/>
  <c r="I29" i="23"/>
  <c r="J29" i="23" s="1"/>
  <c r="K29" i="23" s="1"/>
  <c r="J25" i="6"/>
  <c r="K25" i="6" s="1"/>
  <c r="F26" i="6"/>
  <c r="G26" i="6" s="1"/>
  <c r="H32" i="22" l="1"/>
  <c r="F33" i="22"/>
  <c r="G33" i="22" s="1"/>
  <c r="H28" i="21"/>
  <c r="F29" i="21"/>
  <c r="H29" i="21" s="1"/>
  <c r="H30" i="20"/>
  <c r="G30" i="20"/>
  <c r="I30" i="20" s="1"/>
  <c r="J30" i="20" s="1"/>
  <c r="K30" i="20" s="1"/>
  <c r="F29" i="19"/>
  <c r="I28" i="19"/>
  <c r="J28" i="19" s="1"/>
  <c r="K28" i="19" s="1"/>
  <c r="F31" i="23"/>
  <c r="H26" i="6"/>
  <c r="F27" i="6"/>
  <c r="G27" i="6" s="1"/>
  <c r="H33" i="22" l="1"/>
  <c r="I33" i="22"/>
  <c r="J33" i="22" s="1"/>
  <c r="K33" i="22" s="1"/>
  <c r="F34" i="22"/>
  <c r="H34" i="22" s="1"/>
  <c r="G29" i="21"/>
  <c r="I29" i="21" s="1"/>
  <c r="J29" i="21" s="1"/>
  <c r="K29" i="21" s="1"/>
  <c r="F31" i="20"/>
  <c r="H29" i="19"/>
  <c r="G29" i="19"/>
  <c r="H31" i="23"/>
  <c r="G31" i="23"/>
  <c r="I31" i="23" s="1"/>
  <c r="J31" i="23" s="1"/>
  <c r="K31" i="23" s="1"/>
  <c r="H27" i="6"/>
  <c r="I26" i="6"/>
  <c r="J26" i="6" s="1"/>
  <c r="K26" i="6" s="1"/>
  <c r="G34" i="22" l="1"/>
  <c r="I34" i="22" s="1"/>
  <c r="J34" i="22" s="1"/>
  <c r="K34" i="22" s="1"/>
  <c r="F30" i="21"/>
  <c r="H30" i="21" s="1"/>
  <c r="G31" i="20"/>
  <c r="I31" i="20" s="1"/>
  <c r="J31" i="20" s="1"/>
  <c r="K31" i="20" s="1"/>
  <c r="H31" i="20"/>
  <c r="I29" i="19"/>
  <c r="J29" i="19" s="1"/>
  <c r="K29" i="19" s="1"/>
  <c r="F30" i="19"/>
  <c r="F32" i="23"/>
  <c r="I27" i="6"/>
  <c r="J27" i="6" s="1"/>
  <c r="K27" i="6" s="1"/>
  <c r="F28" i="6"/>
  <c r="F35" i="22" l="1"/>
  <c r="H35" i="22" s="1"/>
  <c r="G30" i="21"/>
  <c r="F31" i="21" s="1"/>
  <c r="G31" i="21" s="1"/>
  <c r="I31" i="21" s="1"/>
  <c r="J31" i="21" s="1"/>
  <c r="K31" i="21" s="1"/>
  <c r="F32" i="20"/>
  <c r="H32" i="20" s="1"/>
  <c r="H28" i="6"/>
  <c r="G28" i="6"/>
  <c r="I28" i="6" s="1"/>
  <c r="J28" i="6" s="1"/>
  <c r="K28" i="6" s="1"/>
  <c r="H30" i="19"/>
  <c r="G30" i="19"/>
  <c r="F31" i="19" s="1"/>
  <c r="G32" i="23"/>
  <c r="I32" i="23" s="1"/>
  <c r="J32" i="23" s="1"/>
  <c r="K32" i="23" s="1"/>
  <c r="H32" i="23"/>
  <c r="G35" i="22" l="1"/>
  <c r="F36" i="22" s="1"/>
  <c r="H36" i="22" s="1"/>
  <c r="F32" i="21"/>
  <c r="H32" i="21" s="1"/>
  <c r="I30" i="21"/>
  <c r="J30" i="21" s="1"/>
  <c r="K30" i="21" s="1"/>
  <c r="H31" i="21"/>
  <c r="G32" i="20"/>
  <c r="I32" i="20" s="1"/>
  <c r="J32" i="20" s="1"/>
  <c r="K32" i="20" s="1"/>
  <c r="G31" i="19"/>
  <c r="I31" i="19" s="1"/>
  <c r="J31" i="19" s="1"/>
  <c r="K31" i="19" s="1"/>
  <c r="H31" i="19"/>
  <c r="I30" i="19"/>
  <c r="J30" i="19" s="1"/>
  <c r="K30" i="19" s="1"/>
  <c r="F33" i="23"/>
  <c r="G33" i="23" s="1"/>
  <c r="F34" i="23" s="1"/>
  <c r="F29" i="6"/>
  <c r="I35" i="22" l="1"/>
  <c r="J35" i="22" s="1"/>
  <c r="K35" i="22" s="1"/>
  <c r="G36" i="22"/>
  <c r="I36" i="22" s="1"/>
  <c r="J36" i="22" s="1"/>
  <c r="K36" i="22" s="1"/>
  <c r="G32" i="21"/>
  <c r="I32" i="21" s="1"/>
  <c r="J32" i="21" s="1"/>
  <c r="K32" i="21" s="1"/>
  <c r="F33" i="20"/>
  <c r="H33" i="20" s="1"/>
  <c r="H29" i="6"/>
  <c r="G29" i="6"/>
  <c r="I29" i="6" s="1"/>
  <c r="J29" i="6" s="1"/>
  <c r="K29" i="6" s="1"/>
  <c r="F32" i="19"/>
  <c r="G32" i="19" s="1"/>
  <c r="H33" i="23"/>
  <c r="H34" i="23"/>
  <c r="G34" i="23"/>
  <c r="I34" i="23" s="1"/>
  <c r="J34" i="23" s="1"/>
  <c r="K34" i="23" s="1"/>
  <c r="I33" i="23"/>
  <c r="J33" i="23" s="1"/>
  <c r="K33" i="23" s="1"/>
  <c r="F37" i="22" l="1"/>
  <c r="F33" i="21"/>
  <c r="H33" i="21" s="1"/>
  <c r="G33" i="20"/>
  <c r="I33" i="20" s="1"/>
  <c r="J33" i="20" s="1"/>
  <c r="K33" i="20" s="1"/>
  <c r="F30" i="6"/>
  <c r="H32" i="19"/>
  <c r="I32" i="19"/>
  <c r="J32" i="19" s="1"/>
  <c r="K32" i="19" s="1"/>
  <c r="F33" i="19"/>
  <c r="H33" i="19" s="1"/>
  <c r="F35" i="23"/>
  <c r="H35" i="23" s="1"/>
  <c r="H37" i="22" l="1"/>
  <c r="G37" i="22"/>
  <c r="F38" i="22" s="1"/>
  <c r="G33" i="21"/>
  <c r="I33" i="21" s="1"/>
  <c r="J33" i="21" s="1"/>
  <c r="K33" i="21" s="1"/>
  <c r="F34" i="20"/>
  <c r="G34" i="20" s="1"/>
  <c r="I34" i="20" s="1"/>
  <c r="J34" i="20" s="1"/>
  <c r="K34" i="20" s="1"/>
  <c r="G30" i="6"/>
  <c r="I30" i="6" s="1"/>
  <c r="J30" i="6" s="1"/>
  <c r="K30" i="6" s="1"/>
  <c r="H30" i="6"/>
  <c r="G33" i="19"/>
  <c r="F34" i="19" s="1"/>
  <c r="G34" i="19" s="1"/>
  <c r="F35" i="19" s="1"/>
  <c r="G35" i="23"/>
  <c r="I35" i="23" s="1"/>
  <c r="J35" i="23" s="1"/>
  <c r="K35" i="23" s="1"/>
  <c r="I37" i="22" l="1"/>
  <c r="J37" i="22" s="1"/>
  <c r="K37" i="22" s="1"/>
  <c r="H38" i="22"/>
  <c r="G38" i="22"/>
  <c r="I38" i="22" s="1"/>
  <c r="J38" i="22" s="1"/>
  <c r="K38" i="22" s="1"/>
  <c r="F34" i="21"/>
  <c r="H34" i="21" s="1"/>
  <c r="H34" i="20"/>
  <c r="F35" i="20"/>
  <c r="G35" i="20" s="1"/>
  <c r="F36" i="20" s="1"/>
  <c r="F31" i="6"/>
  <c r="G31" i="6" s="1"/>
  <c r="H34" i="19"/>
  <c r="I33" i="19"/>
  <c r="J33" i="19" s="1"/>
  <c r="K33" i="19" s="1"/>
  <c r="I34" i="19"/>
  <c r="J34" i="19" s="1"/>
  <c r="K34" i="19" s="1"/>
  <c r="G35" i="19"/>
  <c r="H35" i="19"/>
  <c r="F36" i="23"/>
  <c r="G36" i="23" s="1"/>
  <c r="I36" i="23" s="1"/>
  <c r="J36" i="23" s="1"/>
  <c r="K36" i="23" s="1"/>
  <c r="F39" i="22" l="1"/>
  <c r="G34" i="21"/>
  <c r="F35" i="21" s="1"/>
  <c r="G35" i="21" s="1"/>
  <c r="I35" i="21" s="1"/>
  <c r="J35" i="21" s="1"/>
  <c r="K35" i="21" s="1"/>
  <c r="I35" i="20"/>
  <c r="J35" i="20" s="1"/>
  <c r="K35" i="20" s="1"/>
  <c r="H35" i="20"/>
  <c r="G36" i="20"/>
  <c r="I36" i="20" s="1"/>
  <c r="J36" i="20" s="1"/>
  <c r="K36" i="20" s="1"/>
  <c r="H36" i="20"/>
  <c r="H31" i="6"/>
  <c r="I31" i="6"/>
  <c r="J31" i="6" s="1"/>
  <c r="K31" i="6" s="1"/>
  <c r="F32" i="6"/>
  <c r="I35" i="19"/>
  <c r="J35" i="19" s="1"/>
  <c r="K35" i="19" s="1"/>
  <c r="F36" i="19"/>
  <c r="F37" i="23"/>
  <c r="G37" i="23" s="1"/>
  <c r="I37" i="23" s="1"/>
  <c r="J37" i="23" s="1"/>
  <c r="K37" i="23" s="1"/>
  <c r="H36" i="23"/>
  <c r="H39" i="22" l="1"/>
  <c r="G39" i="22"/>
  <c r="F40" i="22" s="1"/>
  <c r="H35" i="21"/>
  <c r="F36" i="21"/>
  <c r="H36" i="21" s="1"/>
  <c r="I34" i="21"/>
  <c r="J34" i="21" s="1"/>
  <c r="K34" i="21" s="1"/>
  <c r="F37" i="20"/>
  <c r="H32" i="6"/>
  <c r="G32" i="6"/>
  <c r="F33" i="6" s="1"/>
  <c r="G33" i="6" s="1"/>
  <c r="H36" i="19"/>
  <c r="G36" i="19"/>
  <c r="I36" i="19" s="1"/>
  <c r="J36" i="19" s="1"/>
  <c r="K36" i="19" s="1"/>
  <c r="F38" i="23"/>
  <c r="G38" i="23" s="1"/>
  <c r="F39" i="23" s="1"/>
  <c r="G39" i="23" s="1"/>
  <c r="I39" i="23" s="1"/>
  <c r="J39" i="23" s="1"/>
  <c r="K39" i="23" s="1"/>
  <c r="H37" i="23"/>
  <c r="H40" i="22" l="1"/>
  <c r="G40" i="22"/>
  <c r="I40" i="22" s="1"/>
  <c r="J40" i="22" s="1"/>
  <c r="K40" i="22" s="1"/>
  <c r="I39" i="22"/>
  <c r="J39" i="22" s="1"/>
  <c r="K39" i="22" s="1"/>
  <c r="G36" i="21"/>
  <c r="I36" i="21" s="1"/>
  <c r="J36" i="21" s="1"/>
  <c r="K36" i="21" s="1"/>
  <c r="H37" i="20"/>
  <c r="G37" i="20"/>
  <c r="I37" i="20" s="1"/>
  <c r="J37" i="20" s="1"/>
  <c r="K37" i="20" s="1"/>
  <c r="I32" i="6"/>
  <c r="J32" i="6" s="1"/>
  <c r="K32" i="6" s="1"/>
  <c r="F37" i="19"/>
  <c r="H39" i="23"/>
  <c r="H38" i="23"/>
  <c r="I38" i="23"/>
  <c r="J38" i="23" s="1"/>
  <c r="K38" i="23" s="1"/>
  <c r="F40" i="23"/>
  <c r="H33" i="6"/>
  <c r="I33" i="6"/>
  <c r="F41" i="22" l="1"/>
  <c r="F37" i="21"/>
  <c r="H37" i="21" s="1"/>
  <c r="F38" i="20"/>
  <c r="H37" i="19"/>
  <c r="G37" i="19"/>
  <c r="H40" i="23"/>
  <c r="G40" i="23"/>
  <c r="I40" i="23" s="1"/>
  <c r="J40" i="23" s="1"/>
  <c r="K40" i="23" s="1"/>
  <c r="J33" i="6"/>
  <c r="K33" i="6" s="1"/>
  <c r="F34" i="6"/>
  <c r="G34" i="6" s="1"/>
  <c r="G41" i="22" l="1"/>
  <c r="I41" i="22" s="1"/>
  <c r="J41" i="22" s="1"/>
  <c r="K41" i="22" s="1"/>
  <c r="H41" i="22"/>
  <c r="G37" i="21"/>
  <c r="I37" i="21" s="1"/>
  <c r="J37" i="21" s="1"/>
  <c r="K37" i="21" s="1"/>
  <c r="G38" i="20"/>
  <c r="F39" i="20" s="1"/>
  <c r="H38" i="20"/>
  <c r="F38" i="19"/>
  <c r="I37" i="19"/>
  <c r="J37" i="19" s="1"/>
  <c r="K37" i="19" s="1"/>
  <c r="F41" i="23"/>
  <c r="H41" i="23" s="1"/>
  <c r="H34" i="6"/>
  <c r="I34" i="6"/>
  <c r="F42" i="22" l="1"/>
  <c r="F38" i="21"/>
  <c r="H38" i="21" s="1"/>
  <c r="I38" i="20"/>
  <c r="J38" i="20" s="1"/>
  <c r="K38" i="20" s="1"/>
  <c r="H39" i="20"/>
  <c r="G39" i="20"/>
  <c r="F40" i="20" s="1"/>
  <c r="G38" i="19"/>
  <c r="I38" i="19" s="1"/>
  <c r="J38" i="19" s="1"/>
  <c r="K38" i="19" s="1"/>
  <c r="H38" i="19"/>
  <c r="G41" i="23"/>
  <c r="I41" i="23" s="1"/>
  <c r="J41" i="23" s="1"/>
  <c r="K41" i="23" s="1"/>
  <c r="J34" i="6"/>
  <c r="K34" i="6" s="1"/>
  <c r="F35" i="6"/>
  <c r="G35" i="6" s="1"/>
  <c r="H42" i="22" l="1"/>
  <c r="G42" i="22"/>
  <c r="I42" i="22" s="1"/>
  <c r="J42" i="22" s="1"/>
  <c r="K42" i="22" s="1"/>
  <c r="G38" i="21"/>
  <c r="I38" i="21" s="1"/>
  <c r="J38" i="21" s="1"/>
  <c r="K38" i="21" s="1"/>
  <c r="I39" i="20"/>
  <c r="J39" i="20" s="1"/>
  <c r="K39" i="20" s="1"/>
  <c r="G40" i="20"/>
  <c r="I40" i="20" s="1"/>
  <c r="J40" i="20" s="1"/>
  <c r="K40" i="20" s="1"/>
  <c r="H40" i="20"/>
  <c r="F39" i="19"/>
  <c r="H39" i="19" s="1"/>
  <c r="F42" i="23"/>
  <c r="H42" i="23" s="1"/>
  <c r="H35" i="6"/>
  <c r="I35" i="6"/>
  <c r="F43" i="22" l="1"/>
  <c r="H43" i="22" s="1"/>
  <c r="F39" i="21"/>
  <c r="G39" i="21" s="1"/>
  <c r="I39" i="21" s="1"/>
  <c r="J39" i="21" s="1"/>
  <c r="K39" i="21" s="1"/>
  <c r="F41" i="20"/>
  <c r="G39" i="19"/>
  <c r="F40" i="19" s="1"/>
  <c r="G42" i="23"/>
  <c r="F43" i="23" s="1"/>
  <c r="G43" i="23" s="1"/>
  <c r="I43" i="23" s="1"/>
  <c r="J43" i="23" s="1"/>
  <c r="K43" i="23" s="1"/>
  <c r="J35" i="6"/>
  <c r="K35" i="6" s="1"/>
  <c r="F36" i="6"/>
  <c r="G36" i="6" s="1"/>
  <c r="G43" i="22" l="1"/>
  <c r="F44" i="22" s="1"/>
  <c r="G44" i="22" s="1"/>
  <c r="I44" i="22" s="1"/>
  <c r="J44" i="22" s="1"/>
  <c r="K44" i="22" s="1"/>
  <c r="H39" i="21"/>
  <c r="F40" i="21"/>
  <c r="G40" i="21" s="1"/>
  <c r="I40" i="21" s="1"/>
  <c r="J40" i="21" s="1"/>
  <c r="K40" i="21" s="1"/>
  <c r="G41" i="20"/>
  <c r="I41" i="20" s="1"/>
  <c r="J41" i="20" s="1"/>
  <c r="K41" i="20" s="1"/>
  <c r="H41" i="20"/>
  <c r="I39" i="19"/>
  <c r="J39" i="19" s="1"/>
  <c r="K39" i="19" s="1"/>
  <c r="H40" i="19"/>
  <c r="G40" i="19"/>
  <c r="I40" i="19" s="1"/>
  <c r="J40" i="19" s="1"/>
  <c r="K40" i="19" s="1"/>
  <c r="I42" i="23"/>
  <c r="J42" i="23" s="1"/>
  <c r="K42" i="23" s="1"/>
  <c r="F44" i="23"/>
  <c r="H44" i="23" s="1"/>
  <c r="H43" i="23"/>
  <c r="I36" i="6"/>
  <c r="H36" i="6"/>
  <c r="H44" i="22" l="1"/>
  <c r="I43" i="22"/>
  <c r="J43" i="22" s="1"/>
  <c r="K43" i="22" s="1"/>
  <c r="F45" i="22"/>
  <c r="G45" i="22" s="1"/>
  <c r="F46" i="22" s="1"/>
  <c r="F41" i="21"/>
  <c r="G41" i="21" s="1"/>
  <c r="F42" i="21" s="1"/>
  <c r="H40" i="21"/>
  <c r="F42" i="20"/>
  <c r="F41" i="19"/>
  <c r="H41" i="19" s="1"/>
  <c r="G44" i="23"/>
  <c r="I44" i="23" s="1"/>
  <c r="J44" i="23" s="1"/>
  <c r="K44" i="23" s="1"/>
  <c r="J36" i="6"/>
  <c r="K36" i="6" s="1"/>
  <c r="H45" i="22" l="1"/>
  <c r="I45" i="22"/>
  <c r="J45" i="22" s="1"/>
  <c r="K45" i="22" s="1"/>
  <c r="H46" i="22"/>
  <c r="G46" i="22"/>
  <c r="I46" i="22" s="1"/>
  <c r="J46" i="22" s="1"/>
  <c r="K46" i="22" s="1"/>
  <c r="H41" i="21"/>
  <c r="G42" i="21"/>
  <c r="H42" i="21"/>
  <c r="I41" i="21"/>
  <c r="J41" i="21" s="1"/>
  <c r="K41" i="21" s="1"/>
  <c r="G42" i="20"/>
  <c r="I42" i="20" s="1"/>
  <c r="J42" i="20" s="1"/>
  <c r="K42" i="20" s="1"/>
  <c r="H42" i="20"/>
  <c r="G41" i="19"/>
  <c r="I41" i="19" s="1"/>
  <c r="J41" i="19" s="1"/>
  <c r="K41" i="19" s="1"/>
  <c r="F45" i="23"/>
  <c r="H45" i="23" s="1"/>
  <c r="F37" i="6"/>
  <c r="G37" i="6" s="1"/>
  <c r="F47" i="22" l="1"/>
  <c r="H47" i="22" s="1"/>
  <c r="I42" i="21"/>
  <c r="J42" i="21" s="1"/>
  <c r="K42" i="21" s="1"/>
  <c r="F43" i="21"/>
  <c r="F43" i="20"/>
  <c r="F42" i="19"/>
  <c r="H42" i="19" s="1"/>
  <c r="G45" i="23"/>
  <c r="I45" i="23" s="1"/>
  <c r="J45" i="23" s="1"/>
  <c r="K45" i="23" s="1"/>
  <c r="I37" i="6"/>
  <c r="H37" i="6"/>
  <c r="G47" i="22" l="1"/>
  <c r="I47" i="22" s="1"/>
  <c r="J47" i="22" s="1"/>
  <c r="K47" i="22" s="1"/>
  <c r="H43" i="21"/>
  <c r="G43" i="21"/>
  <c r="F44" i="21" s="1"/>
  <c r="G43" i="20"/>
  <c r="F44" i="20" s="1"/>
  <c r="H43" i="20"/>
  <c r="G42" i="19"/>
  <c r="I42" i="19" s="1"/>
  <c r="J42" i="19" s="1"/>
  <c r="K42" i="19" s="1"/>
  <c r="F46" i="23"/>
  <c r="H46" i="23" s="1"/>
  <c r="J37" i="6"/>
  <c r="K37" i="6" s="1"/>
  <c r="F38" i="6"/>
  <c r="G38" i="6" s="1"/>
  <c r="F48" i="22" l="1"/>
  <c r="H48" i="22" s="1"/>
  <c r="G44" i="21"/>
  <c r="I44" i="21" s="1"/>
  <c r="J44" i="21" s="1"/>
  <c r="K44" i="21" s="1"/>
  <c r="H44" i="21"/>
  <c r="I43" i="21"/>
  <c r="J43" i="21" s="1"/>
  <c r="K43" i="21" s="1"/>
  <c r="I43" i="20"/>
  <c r="J43" i="20" s="1"/>
  <c r="K43" i="20" s="1"/>
  <c r="G44" i="20"/>
  <c r="F45" i="20" s="1"/>
  <c r="H44" i="20"/>
  <c r="F43" i="19"/>
  <c r="H43" i="19" s="1"/>
  <c r="G46" i="23"/>
  <c r="F47" i="23" s="1"/>
  <c r="H47" i="23" s="1"/>
  <c r="H38" i="6"/>
  <c r="G48" i="22" l="1"/>
  <c r="I48" i="22" s="1"/>
  <c r="J48" i="22" s="1"/>
  <c r="K48" i="22" s="1"/>
  <c r="F45" i="21"/>
  <c r="G45" i="21" s="1"/>
  <c r="F46" i="21" s="1"/>
  <c r="G46" i="21" s="1"/>
  <c r="I46" i="21" s="1"/>
  <c r="J46" i="21" s="1"/>
  <c r="K46" i="21" s="1"/>
  <c r="I44" i="20"/>
  <c r="J44" i="20" s="1"/>
  <c r="K44" i="20" s="1"/>
  <c r="G45" i="20"/>
  <c r="I45" i="20" s="1"/>
  <c r="J45" i="20" s="1"/>
  <c r="K45" i="20" s="1"/>
  <c r="H45" i="20"/>
  <c r="G43" i="19"/>
  <c r="I43" i="19" s="1"/>
  <c r="J43" i="19" s="1"/>
  <c r="K43" i="19" s="1"/>
  <c r="I46" i="23"/>
  <c r="J46" i="23" s="1"/>
  <c r="K46" i="23" s="1"/>
  <c r="G47" i="23"/>
  <c r="I47" i="23" s="1"/>
  <c r="J47" i="23" s="1"/>
  <c r="K47" i="23" s="1"/>
  <c r="I38" i="6"/>
  <c r="J38" i="6" s="1"/>
  <c r="K38" i="6" s="1"/>
  <c r="F39" i="6"/>
  <c r="G39" i="6" s="1"/>
  <c r="F49" i="22" l="1"/>
  <c r="G49" i="22" s="1"/>
  <c r="I49" i="22" s="1"/>
  <c r="J49" i="22" s="1"/>
  <c r="K49" i="22" s="1"/>
  <c r="H46" i="21"/>
  <c r="I45" i="21"/>
  <c r="J45" i="21" s="1"/>
  <c r="K45" i="21" s="1"/>
  <c r="H45" i="21"/>
  <c r="F47" i="21"/>
  <c r="H47" i="21" s="1"/>
  <c r="F46" i="20"/>
  <c r="F44" i="19"/>
  <c r="H44" i="19" s="1"/>
  <c r="F48" i="23"/>
  <c r="H48" i="23" s="1"/>
  <c r="H39" i="6"/>
  <c r="F50" i="22" l="1"/>
  <c r="H50" i="22" s="1"/>
  <c r="H49" i="22"/>
  <c r="G47" i="21"/>
  <c r="F48" i="21" s="1"/>
  <c r="G48" i="21" s="1"/>
  <c r="I48" i="21" s="1"/>
  <c r="J48" i="21" s="1"/>
  <c r="K48" i="21" s="1"/>
  <c r="G46" i="20"/>
  <c r="I46" i="20" s="1"/>
  <c r="J46" i="20" s="1"/>
  <c r="K46" i="20" s="1"/>
  <c r="H46" i="20"/>
  <c r="G44" i="19"/>
  <c r="I44" i="19" s="1"/>
  <c r="J44" i="19" s="1"/>
  <c r="K44" i="19" s="1"/>
  <c r="G48" i="23"/>
  <c r="F49" i="23" s="1"/>
  <c r="G49" i="23" s="1"/>
  <c r="I49" i="23" s="1"/>
  <c r="J49" i="23" s="1"/>
  <c r="K49" i="23" s="1"/>
  <c r="I39" i="6"/>
  <c r="J39" i="6" s="1"/>
  <c r="K39" i="6" s="1"/>
  <c r="F40" i="6"/>
  <c r="G40" i="6" s="1"/>
  <c r="G50" i="22" l="1"/>
  <c r="I50" i="22" s="1"/>
  <c r="J50" i="22" s="1"/>
  <c r="K50" i="22" s="1"/>
  <c r="H48" i="21"/>
  <c r="I47" i="21"/>
  <c r="J47" i="21" s="1"/>
  <c r="K47" i="21" s="1"/>
  <c r="F49" i="21"/>
  <c r="H49" i="21" s="1"/>
  <c r="F47" i="20"/>
  <c r="F45" i="19"/>
  <c r="H45" i="19" s="1"/>
  <c r="H49" i="23"/>
  <c r="I48" i="23"/>
  <c r="J48" i="23" s="1"/>
  <c r="K48" i="23" s="1"/>
  <c r="F50" i="23"/>
  <c r="G50" i="23" s="1"/>
  <c r="I50" i="23" s="1"/>
  <c r="J50" i="23" s="1"/>
  <c r="K50" i="23" s="1"/>
  <c r="I40" i="6"/>
  <c r="H40" i="6"/>
  <c r="F51" i="22" l="1"/>
  <c r="G51" i="22" s="1"/>
  <c r="I51" i="22" s="1"/>
  <c r="J51" i="22" s="1"/>
  <c r="K51" i="22" s="1"/>
  <c r="G49" i="21"/>
  <c r="I49" i="21" s="1"/>
  <c r="J49" i="21" s="1"/>
  <c r="K49" i="21" s="1"/>
  <c r="H47" i="20"/>
  <c r="G47" i="20"/>
  <c r="I47" i="20" s="1"/>
  <c r="J47" i="20" s="1"/>
  <c r="K47" i="20" s="1"/>
  <c r="G45" i="19"/>
  <c r="I45" i="19" s="1"/>
  <c r="J45" i="19" s="1"/>
  <c r="K45" i="19" s="1"/>
  <c r="F41" i="6"/>
  <c r="F51" i="23"/>
  <c r="H51" i="23" s="1"/>
  <c r="H50" i="23"/>
  <c r="J40" i="6"/>
  <c r="K40" i="6" s="1"/>
  <c r="H51" i="22" l="1"/>
  <c r="F52" i="22"/>
  <c r="F50" i="21"/>
  <c r="H50" i="21" s="1"/>
  <c r="F48" i="20"/>
  <c r="H41" i="6"/>
  <c r="G41" i="6"/>
  <c r="F42" i="6" s="1"/>
  <c r="G42" i="6" s="1"/>
  <c r="F46" i="19"/>
  <c r="G46" i="19" s="1"/>
  <c r="F47" i="19" s="1"/>
  <c r="G51" i="23"/>
  <c r="I51" i="23" s="1"/>
  <c r="J51" i="23" s="1"/>
  <c r="K51" i="23" s="1"/>
  <c r="G52" i="22" l="1"/>
  <c r="H52" i="22"/>
  <c r="G50" i="21"/>
  <c r="I50" i="21" s="1"/>
  <c r="J50" i="21" s="1"/>
  <c r="K50" i="21" s="1"/>
  <c r="H48" i="20"/>
  <c r="G48" i="20"/>
  <c r="I48" i="20" s="1"/>
  <c r="J48" i="20" s="1"/>
  <c r="K48" i="20" s="1"/>
  <c r="F43" i="6"/>
  <c r="G43" i="6" s="1"/>
  <c r="I42" i="6"/>
  <c r="J42" i="6" s="1"/>
  <c r="K42" i="6" s="1"/>
  <c r="H42" i="6"/>
  <c r="I41" i="6"/>
  <c r="J41" i="6" s="1"/>
  <c r="K41" i="6" s="1"/>
  <c r="H46" i="19"/>
  <c r="G47" i="19"/>
  <c r="H47" i="19"/>
  <c r="I46" i="19"/>
  <c r="J46" i="19" s="1"/>
  <c r="K46" i="19" s="1"/>
  <c r="F52" i="23"/>
  <c r="H52" i="23" s="1"/>
  <c r="I52" i="22" l="1"/>
  <c r="J52" i="22" s="1"/>
  <c r="K52" i="22" s="1"/>
  <c r="F53" i="22"/>
  <c r="F51" i="21"/>
  <c r="G51" i="21" s="1"/>
  <c r="I51" i="21" s="1"/>
  <c r="J51" i="21" s="1"/>
  <c r="K51" i="21" s="1"/>
  <c r="F49" i="20"/>
  <c r="I43" i="6"/>
  <c r="J43" i="6" s="1"/>
  <c r="K43" i="6" s="1"/>
  <c r="H43" i="6"/>
  <c r="I47" i="19"/>
  <c r="J47" i="19" s="1"/>
  <c r="K47" i="19" s="1"/>
  <c r="F48" i="19"/>
  <c r="G52" i="23"/>
  <c r="F53" i="23" s="1"/>
  <c r="G53" i="23" s="1"/>
  <c r="I53" i="23" s="1"/>
  <c r="J53" i="23" s="1"/>
  <c r="K53" i="23" s="1"/>
  <c r="G53" i="22" l="1"/>
  <c r="F54" i="22" s="1"/>
  <c r="H53" i="22"/>
  <c r="H51" i="21"/>
  <c r="F52" i="21"/>
  <c r="H49" i="20"/>
  <c r="G49" i="20"/>
  <c r="I49" i="20" s="1"/>
  <c r="J49" i="20" s="1"/>
  <c r="K49" i="20" s="1"/>
  <c r="G48" i="19"/>
  <c r="H48" i="19"/>
  <c r="H53" i="23"/>
  <c r="I52" i="23"/>
  <c r="J52" i="23" s="1"/>
  <c r="K52" i="23" s="1"/>
  <c r="F54" i="23"/>
  <c r="F44" i="6"/>
  <c r="G44" i="6" s="1"/>
  <c r="I53" i="22" l="1"/>
  <c r="J53" i="22" s="1"/>
  <c r="K53" i="22" s="1"/>
  <c r="G54" i="22"/>
  <c r="I54" i="22" s="1"/>
  <c r="J54" i="22" s="1"/>
  <c r="K54" i="22" s="1"/>
  <c r="H54" i="22"/>
  <c r="G52" i="21"/>
  <c r="I52" i="21" s="1"/>
  <c r="J52" i="21" s="1"/>
  <c r="K52" i="21" s="1"/>
  <c r="H52" i="21"/>
  <c r="F50" i="20"/>
  <c r="I48" i="19"/>
  <c r="J48" i="19" s="1"/>
  <c r="K48" i="19" s="1"/>
  <c r="F49" i="19"/>
  <c r="H54" i="23"/>
  <c r="G54" i="23"/>
  <c r="F55" i="23" s="1"/>
  <c r="H44" i="6"/>
  <c r="F55" i="22" l="1"/>
  <c r="H55" i="22" s="1"/>
  <c r="F53" i="21"/>
  <c r="H50" i="20"/>
  <c r="G50" i="20"/>
  <c r="F51" i="20" s="1"/>
  <c r="G49" i="19"/>
  <c r="F50" i="19" s="1"/>
  <c r="H49" i="19"/>
  <c r="I54" i="23"/>
  <c r="J54" i="23" s="1"/>
  <c r="K54" i="23" s="1"/>
  <c r="G55" i="23"/>
  <c r="I55" i="23" s="1"/>
  <c r="J55" i="23" s="1"/>
  <c r="K55" i="23" s="1"/>
  <c r="H55" i="23"/>
  <c r="I44" i="6"/>
  <c r="J44" i="6" s="1"/>
  <c r="K44" i="6" s="1"/>
  <c r="F45" i="6"/>
  <c r="G45" i="6" s="1"/>
  <c r="G55" i="22" l="1"/>
  <c r="F56" i="22" s="1"/>
  <c r="G56" i="22" s="1"/>
  <c r="I56" i="22" s="1"/>
  <c r="J56" i="22" s="1"/>
  <c r="K56" i="22" s="1"/>
  <c r="G53" i="21"/>
  <c r="F54" i="21" s="1"/>
  <c r="H53" i="21"/>
  <c r="I50" i="20"/>
  <c r="J50" i="20" s="1"/>
  <c r="K50" i="20" s="1"/>
  <c r="H51" i="20"/>
  <c r="G51" i="20"/>
  <c r="I51" i="20" s="1"/>
  <c r="J51" i="20" s="1"/>
  <c r="K51" i="20" s="1"/>
  <c r="I49" i="19"/>
  <c r="J49" i="19" s="1"/>
  <c r="K49" i="19" s="1"/>
  <c r="G50" i="19"/>
  <c r="I50" i="19" s="1"/>
  <c r="J50" i="19" s="1"/>
  <c r="K50" i="19" s="1"/>
  <c r="H50" i="19"/>
  <c r="F56" i="23"/>
  <c r="H56" i="23" s="1"/>
  <c r="F46" i="6"/>
  <c r="G46" i="6" s="1"/>
  <c r="H45" i="6"/>
  <c r="I55" i="22" l="1"/>
  <c r="J55" i="22" s="1"/>
  <c r="K55" i="22" s="1"/>
  <c r="H56" i="22"/>
  <c r="F57" i="22"/>
  <c r="G54" i="21"/>
  <c r="H54" i="21"/>
  <c r="I53" i="21"/>
  <c r="J53" i="21" s="1"/>
  <c r="K53" i="21" s="1"/>
  <c r="F52" i="20"/>
  <c r="F51" i="19"/>
  <c r="H51" i="19" s="1"/>
  <c r="I45" i="6"/>
  <c r="J45" i="6" s="1"/>
  <c r="K45" i="6" s="1"/>
  <c r="G56" i="23"/>
  <c r="I56" i="23" s="1"/>
  <c r="J56" i="23" s="1"/>
  <c r="K56" i="23" s="1"/>
  <c r="H46" i="6"/>
  <c r="I46" i="6"/>
  <c r="J46" i="6" s="1"/>
  <c r="K46" i="6" s="1"/>
  <c r="F47" i="6"/>
  <c r="G47" i="6" s="1"/>
  <c r="H57" i="22" l="1"/>
  <c r="G57" i="22"/>
  <c r="I54" i="21"/>
  <c r="J54" i="21" s="1"/>
  <c r="K54" i="21" s="1"/>
  <c r="F55" i="21"/>
  <c r="H52" i="20"/>
  <c r="G52" i="20"/>
  <c r="I52" i="20" s="1"/>
  <c r="J52" i="20" s="1"/>
  <c r="K52" i="20" s="1"/>
  <c r="G51" i="19"/>
  <c r="F52" i="19" s="1"/>
  <c r="H52" i="19" s="1"/>
  <c r="F57" i="23"/>
  <c r="H57" i="23" s="1"/>
  <c r="I47" i="6"/>
  <c r="H47" i="6"/>
  <c r="I57" i="22" l="1"/>
  <c r="J57" i="22" s="1"/>
  <c r="K57" i="22" s="1"/>
  <c r="F58" i="22"/>
  <c r="H55" i="21"/>
  <c r="G55" i="21"/>
  <c r="I55" i="21" s="1"/>
  <c r="J55" i="21" s="1"/>
  <c r="K55" i="21" s="1"/>
  <c r="F53" i="20"/>
  <c r="H53" i="20" s="1"/>
  <c r="I51" i="19"/>
  <c r="J51" i="19" s="1"/>
  <c r="K51" i="19" s="1"/>
  <c r="G52" i="19"/>
  <c r="I52" i="19" s="1"/>
  <c r="J52" i="19" s="1"/>
  <c r="K52" i="19" s="1"/>
  <c r="G57" i="23"/>
  <c r="I57" i="23" s="1"/>
  <c r="J57" i="23" s="1"/>
  <c r="K57" i="23" s="1"/>
  <c r="J47" i="6"/>
  <c r="K47" i="6" s="1"/>
  <c r="G58" i="22" l="1"/>
  <c r="I58" i="22" s="1"/>
  <c r="J58" i="22" s="1"/>
  <c r="K58" i="22" s="1"/>
  <c r="H58" i="22"/>
  <c r="F56" i="21"/>
  <c r="H56" i="21" s="1"/>
  <c r="G53" i="20"/>
  <c r="F53" i="19"/>
  <c r="H53" i="19" s="1"/>
  <c r="F58" i="23"/>
  <c r="G58" i="23" s="1"/>
  <c r="I58" i="23" s="1"/>
  <c r="J58" i="23" s="1"/>
  <c r="K58" i="23" s="1"/>
  <c r="F48" i="6"/>
  <c r="G48" i="6" s="1"/>
  <c r="F59" i="22" l="1"/>
  <c r="G59" i="22" s="1"/>
  <c r="G56" i="21"/>
  <c r="I56" i="21" s="1"/>
  <c r="J56" i="21" s="1"/>
  <c r="K56" i="21" s="1"/>
  <c r="F54" i="20"/>
  <c r="I53" i="20"/>
  <c r="J53" i="20" s="1"/>
  <c r="K53" i="20" s="1"/>
  <c r="G53" i="19"/>
  <c r="I53" i="19" s="1"/>
  <c r="J53" i="19" s="1"/>
  <c r="K53" i="19" s="1"/>
  <c r="F59" i="23"/>
  <c r="G59" i="23" s="1"/>
  <c r="I59" i="23" s="1"/>
  <c r="J59" i="23" s="1"/>
  <c r="K59" i="23" s="1"/>
  <c r="H58" i="23"/>
  <c r="I48" i="6"/>
  <c r="H48" i="6"/>
  <c r="I59" i="22" l="1"/>
  <c r="J59" i="22" s="1"/>
  <c r="K59" i="22" s="1"/>
  <c r="F60" i="22"/>
  <c r="H60" i="22" s="1"/>
  <c r="H59" i="22"/>
  <c r="F57" i="21"/>
  <c r="G57" i="21" s="1"/>
  <c r="F58" i="21" s="1"/>
  <c r="H54" i="20"/>
  <c r="G54" i="20"/>
  <c r="F54" i="19"/>
  <c r="H54" i="19" s="1"/>
  <c r="F60" i="23"/>
  <c r="G60" i="23" s="1"/>
  <c r="F61" i="23" s="1"/>
  <c r="H59" i="23"/>
  <c r="J48" i="6"/>
  <c r="K48" i="6" s="1"/>
  <c r="G60" i="22" l="1"/>
  <c r="I60" i="22" s="1"/>
  <c r="J60" i="22" s="1"/>
  <c r="K60" i="22" s="1"/>
  <c r="H57" i="21"/>
  <c r="I57" i="21"/>
  <c r="J57" i="21" s="1"/>
  <c r="K57" i="21" s="1"/>
  <c r="G58" i="21"/>
  <c r="I58" i="21" s="1"/>
  <c r="J58" i="21" s="1"/>
  <c r="K58" i="21" s="1"/>
  <c r="H58" i="21"/>
  <c r="F55" i="20"/>
  <c r="I54" i="20"/>
  <c r="J54" i="20" s="1"/>
  <c r="K54" i="20" s="1"/>
  <c r="G54" i="19"/>
  <c r="I54" i="19" s="1"/>
  <c r="J54" i="19" s="1"/>
  <c r="K54" i="19" s="1"/>
  <c r="H60" i="23"/>
  <c r="I60" i="23"/>
  <c r="J60" i="23" s="1"/>
  <c r="K60" i="23" s="1"/>
  <c r="G61" i="23"/>
  <c r="I61" i="23" s="1"/>
  <c r="J61" i="23" s="1"/>
  <c r="K61" i="23" s="1"/>
  <c r="H61" i="23"/>
  <c r="F49" i="6"/>
  <c r="G49" i="6" s="1"/>
  <c r="F61" i="22" l="1"/>
  <c r="H61" i="22" s="1"/>
  <c r="F59" i="21"/>
  <c r="H59" i="21" s="1"/>
  <c r="G55" i="20"/>
  <c r="F56" i="20" s="1"/>
  <c r="H55" i="20"/>
  <c r="F55" i="19"/>
  <c r="H55" i="19" s="1"/>
  <c r="F62" i="23"/>
  <c r="G62" i="23" s="1"/>
  <c r="F63" i="23" s="1"/>
  <c r="I49" i="6"/>
  <c r="H49" i="6"/>
  <c r="G61" i="22" l="1"/>
  <c r="F62" i="22" s="1"/>
  <c r="G62" i="22" s="1"/>
  <c r="I62" i="22" s="1"/>
  <c r="J62" i="22" s="1"/>
  <c r="K62" i="22" s="1"/>
  <c r="G59" i="21"/>
  <c r="I59" i="21" s="1"/>
  <c r="J59" i="21" s="1"/>
  <c r="K59" i="21" s="1"/>
  <c r="I55" i="20"/>
  <c r="J55" i="20" s="1"/>
  <c r="K55" i="20" s="1"/>
  <c r="H56" i="20"/>
  <c r="G56" i="20"/>
  <c r="I56" i="20" s="1"/>
  <c r="J56" i="20" s="1"/>
  <c r="K56" i="20" s="1"/>
  <c r="G55" i="19"/>
  <c r="H62" i="23"/>
  <c r="I62" i="23"/>
  <c r="J62" i="23" s="1"/>
  <c r="K62" i="23" s="1"/>
  <c r="G63" i="23"/>
  <c r="I63" i="23" s="1"/>
  <c r="J63" i="23" s="1"/>
  <c r="K63" i="23" s="1"/>
  <c r="H63" i="23"/>
  <c r="J49" i="6"/>
  <c r="K49" i="6" s="1"/>
  <c r="H62" i="22" l="1"/>
  <c r="I61" i="22"/>
  <c r="J61" i="22" s="1"/>
  <c r="K61" i="22" s="1"/>
  <c r="F63" i="22"/>
  <c r="G63" i="22" s="1"/>
  <c r="I63" i="22" s="1"/>
  <c r="J63" i="22" s="1"/>
  <c r="K63" i="22" s="1"/>
  <c r="F60" i="21"/>
  <c r="F57" i="20"/>
  <c r="I55" i="19"/>
  <c r="J55" i="19" s="1"/>
  <c r="K55" i="19" s="1"/>
  <c r="F56" i="19"/>
  <c r="F64" i="23"/>
  <c r="F50" i="6"/>
  <c r="G50" i="6" s="1"/>
  <c r="H63" i="22" l="1"/>
  <c r="F64" i="22"/>
  <c r="G64" i="22" s="1"/>
  <c r="F65" i="22" s="1"/>
  <c r="H60" i="21"/>
  <c r="G60" i="21"/>
  <c r="I60" i="21" s="1"/>
  <c r="J60" i="21" s="1"/>
  <c r="K60" i="21" s="1"/>
  <c r="H57" i="20"/>
  <c r="G57" i="20"/>
  <c r="I57" i="20" s="1"/>
  <c r="J57" i="20" s="1"/>
  <c r="K57" i="20" s="1"/>
  <c r="G56" i="19"/>
  <c r="F57" i="19" s="1"/>
  <c r="H56" i="19"/>
  <c r="H64" i="23"/>
  <c r="G64" i="23"/>
  <c r="I64" i="23" s="1"/>
  <c r="J64" i="23" s="1"/>
  <c r="K64" i="23" s="1"/>
  <c r="I50" i="6"/>
  <c r="H50" i="6"/>
  <c r="H64" i="22" l="1"/>
  <c r="I64" i="22"/>
  <c r="J64" i="22" s="1"/>
  <c r="K64" i="22" s="1"/>
  <c r="G65" i="22"/>
  <c r="I65" i="22" s="1"/>
  <c r="J65" i="22" s="1"/>
  <c r="K65" i="22" s="1"/>
  <c r="H65" i="22"/>
  <c r="F61" i="21"/>
  <c r="F58" i="20"/>
  <c r="I56" i="19"/>
  <c r="J56" i="19" s="1"/>
  <c r="K56" i="19" s="1"/>
  <c r="H57" i="19"/>
  <c r="G57" i="19"/>
  <c r="I57" i="19" s="1"/>
  <c r="J57" i="19" s="1"/>
  <c r="K57" i="19" s="1"/>
  <c r="F65" i="23"/>
  <c r="J50" i="6"/>
  <c r="K50" i="6" s="1"/>
  <c r="F66" i="22" l="1"/>
  <c r="H66" i="22" s="1"/>
  <c r="G61" i="21"/>
  <c r="F62" i="21" s="1"/>
  <c r="H61" i="21"/>
  <c r="H58" i="20"/>
  <c r="G58" i="20"/>
  <c r="F59" i="20" s="1"/>
  <c r="F58" i="19"/>
  <c r="H65" i="23"/>
  <c r="G65" i="23"/>
  <c r="F66" i="23" s="1"/>
  <c r="F51" i="6"/>
  <c r="G51" i="6" s="1"/>
  <c r="G66" i="22" l="1"/>
  <c r="F67" i="22" s="1"/>
  <c r="H67" i="22" s="1"/>
  <c r="I61" i="21"/>
  <c r="J61" i="21" s="1"/>
  <c r="K61" i="21" s="1"/>
  <c r="G62" i="21"/>
  <c r="I62" i="21" s="1"/>
  <c r="J62" i="21" s="1"/>
  <c r="K62" i="21" s="1"/>
  <c r="H62" i="21"/>
  <c r="I58" i="20"/>
  <c r="J58" i="20" s="1"/>
  <c r="K58" i="20" s="1"/>
  <c r="G59" i="20"/>
  <c r="I59" i="20" s="1"/>
  <c r="J59" i="20" s="1"/>
  <c r="K59" i="20" s="1"/>
  <c r="H59" i="20"/>
  <c r="G58" i="19"/>
  <c r="I58" i="19" s="1"/>
  <c r="J58" i="19" s="1"/>
  <c r="K58" i="19" s="1"/>
  <c r="H58" i="19"/>
  <c r="G66" i="23"/>
  <c r="I66" i="23" s="1"/>
  <c r="J66" i="23" s="1"/>
  <c r="K66" i="23" s="1"/>
  <c r="H66" i="23"/>
  <c r="I65" i="23"/>
  <c r="J65" i="23" s="1"/>
  <c r="K65" i="23" s="1"/>
  <c r="I51" i="6"/>
  <c r="H51" i="6"/>
  <c r="G67" i="22" l="1"/>
  <c r="F68" i="22" s="1"/>
  <c r="G68" i="22" s="1"/>
  <c r="F69" i="22" s="1"/>
  <c r="I66" i="22"/>
  <c r="J66" i="22" s="1"/>
  <c r="K66" i="22" s="1"/>
  <c r="F63" i="21"/>
  <c r="G63" i="21" s="1"/>
  <c r="F60" i="20"/>
  <c r="G60" i="20" s="1"/>
  <c r="F59" i="19"/>
  <c r="F67" i="23"/>
  <c r="G67" i="23" s="1"/>
  <c r="F68" i="23" s="1"/>
  <c r="J51" i="6"/>
  <c r="K51" i="6" s="1"/>
  <c r="H68" i="22" l="1"/>
  <c r="I67" i="22"/>
  <c r="J67" i="22" s="1"/>
  <c r="K67" i="22" s="1"/>
  <c r="I68" i="22"/>
  <c r="J68" i="22" s="1"/>
  <c r="K68" i="22" s="1"/>
  <c r="G69" i="22"/>
  <c r="I69" i="22" s="1"/>
  <c r="J69" i="22" s="1"/>
  <c r="K69" i="22" s="1"/>
  <c r="H69" i="22"/>
  <c r="H63" i="21"/>
  <c r="I63" i="21"/>
  <c r="J63" i="21" s="1"/>
  <c r="K63" i="21" s="1"/>
  <c r="F64" i="21"/>
  <c r="H60" i="20"/>
  <c r="F61" i="20"/>
  <c r="G61" i="20" s="1"/>
  <c r="I60" i="20"/>
  <c r="J60" i="20" s="1"/>
  <c r="K60" i="20" s="1"/>
  <c r="G59" i="19"/>
  <c r="F60" i="19" s="1"/>
  <c r="H59" i="19"/>
  <c r="H67" i="23"/>
  <c r="H68" i="23"/>
  <c r="G68" i="23"/>
  <c r="I68" i="23" s="1"/>
  <c r="J68" i="23" s="1"/>
  <c r="K68" i="23" s="1"/>
  <c r="I67" i="23"/>
  <c r="J67" i="23" s="1"/>
  <c r="K67" i="23" s="1"/>
  <c r="F52" i="6"/>
  <c r="G52" i="6" s="1"/>
  <c r="I59" i="19" l="1"/>
  <c r="J59" i="19" s="1"/>
  <c r="K59" i="19" s="1"/>
  <c r="F70" i="22"/>
  <c r="G70" i="22" s="1"/>
  <c r="F71" i="22" s="1"/>
  <c r="G64" i="21"/>
  <c r="H64" i="21"/>
  <c r="H61" i="20"/>
  <c r="I61" i="20"/>
  <c r="J61" i="20" s="1"/>
  <c r="K61" i="20" s="1"/>
  <c r="F62" i="20"/>
  <c r="G62" i="20" s="1"/>
  <c r="F63" i="20" s="1"/>
  <c r="H60" i="19"/>
  <c r="G60" i="19"/>
  <c r="I60" i="19" s="1"/>
  <c r="J60" i="19" s="1"/>
  <c r="K60" i="19" s="1"/>
  <c r="F69" i="23"/>
  <c r="I52" i="6"/>
  <c r="H52" i="6"/>
  <c r="H70" i="22" l="1"/>
  <c r="I70" i="22"/>
  <c r="J70" i="22" s="1"/>
  <c r="K70" i="22" s="1"/>
  <c r="G71" i="22"/>
  <c r="F72" i="22" s="1"/>
  <c r="H71" i="22"/>
  <c r="I64" i="21"/>
  <c r="J64" i="21" s="1"/>
  <c r="K64" i="21" s="1"/>
  <c r="F65" i="21"/>
  <c r="H62" i="20"/>
  <c r="I62" i="20"/>
  <c r="J62" i="20" s="1"/>
  <c r="K62" i="20" s="1"/>
  <c r="G63" i="20"/>
  <c r="I63" i="20" s="1"/>
  <c r="J63" i="20" s="1"/>
  <c r="K63" i="20" s="1"/>
  <c r="H63" i="20"/>
  <c r="F61" i="19"/>
  <c r="G69" i="23"/>
  <c r="I69" i="23" s="1"/>
  <c r="J69" i="23" s="1"/>
  <c r="K69" i="23" s="1"/>
  <c r="H69" i="23"/>
  <c r="J52" i="6"/>
  <c r="K52" i="6" s="1"/>
  <c r="I71" i="22" l="1"/>
  <c r="J71" i="22" s="1"/>
  <c r="K71" i="22" s="1"/>
  <c r="G72" i="22"/>
  <c r="I72" i="22" s="1"/>
  <c r="J72" i="22" s="1"/>
  <c r="K72" i="22" s="1"/>
  <c r="H72" i="22"/>
  <c r="G65" i="21"/>
  <c r="H65" i="21"/>
  <c r="F64" i="20"/>
  <c r="H64" i="20" s="1"/>
  <c r="G61" i="19"/>
  <c r="F62" i="19" s="1"/>
  <c r="H61" i="19"/>
  <c r="F70" i="23"/>
  <c r="F53" i="6"/>
  <c r="G53" i="6" s="1"/>
  <c r="F73" i="22" l="1"/>
  <c r="G73" i="22" s="1"/>
  <c r="F66" i="21"/>
  <c r="I65" i="21"/>
  <c r="J65" i="21" s="1"/>
  <c r="K65" i="21" s="1"/>
  <c r="G64" i="20"/>
  <c r="I64" i="20" s="1"/>
  <c r="J64" i="20" s="1"/>
  <c r="K64" i="20" s="1"/>
  <c r="I61" i="19"/>
  <c r="J61" i="19" s="1"/>
  <c r="K61" i="19" s="1"/>
  <c r="H62" i="19"/>
  <c r="G62" i="19"/>
  <c r="I62" i="19" s="1"/>
  <c r="J62" i="19" s="1"/>
  <c r="K62" i="19" s="1"/>
  <c r="G70" i="23"/>
  <c r="I70" i="23" s="1"/>
  <c r="J70" i="23" s="1"/>
  <c r="K70" i="23" s="1"/>
  <c r="H70" i="23"/>
  <c r="I53" i="6"/>
  <c r="H53" i="6"/>
  <c r="H73" i="22" l="1"/>
  <c r="I73" i="22"/>
  <c r="J73" i="22" s="1"/>
  <c r="K73" i="22" s="1"/>
  <c r="F74" i="22"/>
  <c r="G74" i="22" s="1"/>
  <c r="I74" i="22" s="1"/>
  <c r="J74" i="22" s="1"/>
  <c r="K74" i="22" s="1"/>
  <c r="H66" i="21"/>
  <c r="G66" i="21"/>
  <c r="I66" i="21" s="1"/>
  <c r="J66" i="21" s="1"/>
  <c r="K66" i="21" s="1"/>
  <c r="F65" i="20"/>
  <c r="G65" i="20" s="1"/>
  <c r="F66" i="20" s="1"/>
  <c r="F63" i="19"/>
  <c r="H63" i="19" s="1"/>
  <c r="F71" i="23"/>
  <c r="G71" i="23" s="1"/>
  <c r="J53" i="6"/>
  <c r="K53" i="6" s="1"/>
  <c r="H74" i="22" l="1"/>
  <c r="F75" i="22"/>
  <c r="G75" i="22" s="1"/>
  <c r="F67" i="21"/>
  <c r="H67" i="21" s="1"/>
  <c r="H65" i="20"/>
  <c r="I65" i="20"/>
  <c r="J65" i="20" s="1"/>
  <c r="K65" i="20" s="1"/>
  <c r="H66" i="20"/>
  <c r="G66" i="20"/>
  <c r="I66" i="20" s="1"/>
  <c r="J66" i="20" s="1"/>
  <c r="K66" i="20" s="1"/>
  <c r="G63" i="19"/>
  <c r="H71" i="23"/>
  <c r="I71" i="23"/>
  <c r="J71" i="23" s="1"/>
  <c r="K71" i="23" s="1"/>
  <c r="F72" i="23"/>
  <c r="H72" i="23" s="1"/>
  <c r="F54" i="6"/>
  <c r="G54" i="6" s="1"/>
  <c r="I75" i="22" l="1"/>
  <c r="J75" i="22" s="1"/>
  <c r="K75" i="22" s="1"/>
  <c r="F76" i="22"/>
  <c r="G76" i="22" s="1"/>
  <c r="H75" i="22"/>
  <c r="G67" i="21"/>
  <c r="I67" i="21" s="1"/>
  <c r="J67" i="21" s="1"/>
  <c r="K67" i="21" s="1"/>
  <c r="F67" i="20"/>
  <c r="G67" i="20" s="1"/>
  <c r="I63" i="19"/>
  <c r="J63" i="19" s="1"/>
  <c r="K63" i="19" s="1"/>
  <c r="F64" i="19"/>
  <c r="G72" i="23"/>
  <c r="I72" i="23" s="1"/>
  <c r="J72" i="23" s="1"/>
  <c r="K72" i="23" s="1"/>
  <c r="I54" i="6"/>
  <c r="H54" i="6"/>
  <c r="H76" i="22" l="1"/>
  <c r="I76" i="22"/>
  <c r="J76" i="22" s="1"/>
  <c r="K76" i="22" s="1"/>
  <c r="F77" i="22"/>
  <c r="F68" i="21"/>
  <c r="H68" i="21" s="1"/>
  <c r="I67" i="20"/>
  <c r="J67" i="20" s="1"/>
  <c r="K67" i="20" s="1"/>
  <c r="F68" i="20"/>
  <c r="H68" i="20" s="1"/>
  <c r="H67" i="20"/>
  <c r="G64" i="19"/>
  <c r="H64" i="19"/>
  <c r="F73" i="23"/>
  <c r="G73" i="23" s="1"/>
  <c r="F74" i="23" s="1"/>
  <c r="F55" i="6"/>
  <c r="G55" i="6" s="1"/>
  <c r="J54" i="6"/>
  <c r="K54" i="6" s="1"/>
  <c r="H77" i="22" l="1"/>
  <c r="G77" i="22"/>
  <c r="G68" i="21"/>
  <c r="F69" i="21" s="1"/>
  <c r="H69" i="21" s="1"/>
  <c r="G68" i="20"/>
  <c r="I68" i="20" s="1"/>
  <c r="J68" i="20" s="1"/>
  <c r="K68" i="20" s="1"/>
  <c r="I64" i="19"/>
  <c r="J64" i="19" s="1"/>
  <c r="K64" i="19" s="1"/>
  <c r="F65" i="19"/>
  <c r="H73" i="23"/>
  <c r="I73" i="23"/>
  <c r="J73" i="23" s="1"/>
  <c r="K73" i="23" s="1"/>
  <c r="G74" i="23"/>
  <c r="I74" i="23" s="1"/>
  <c r="J74" i="23" s="1"/>
  <c r="K74" i="23" s="1"/>
  <c r="H74" i="23"/>
  <c r="H55" i="6"/>
  <c r="F78" i="22" l="1"/>
  <c r="I77" i="22"/>
  <c r="J77" i="22" s="1"/>
  <c r="K77" i="22" s="1"/>
  <c r="G69" i="21"/>
  <c r="I69" i="21" s="1"/>
  <c r="J69" i="21" s="1"/>
  <c r="K69" i="21" s="1"/>
  <c r="I68" i="21"/>
  <c r="J68" i="21" s="1"/>
  <c r="K68" i="21" s="1"/>
  <c r="F69" i="20"/>
  <c r="H69" i="20" s="1"/>
  <c r="G65" i="19"/>
  <c r="F66" i="19" s="1"/>
  <c r="H65" i="19"/>
  <c r="F75" i="23"/>
  <c r="G75" i="23" s="1"/>
  <c r="I75" i="23" s="1"/>
  <c r="J75" i="23" s="1"/>
  <c r="K75" i="23" s="1"/>
  <c r="I55" i="6"/>
  <c r="J55" i="6" s="1"/>
  <c r="K55" i="6" s="1"/>
  <c r="F56" i="6"/>
  <c r="G56" i="6" s="1"/>
  <c r="G78" i="22" l="1"/>
  <c r="I78" i="22" s="1"/>
  <c r="J78" i="22" s="1"/>
  <c r="K78" i="22" s="1"/>
  <c r="H78" i="22"/>
  <c r="F70" i="21"/>
  <c r="H70" i="21" s="1"/>
  <c r="G69" i="20"/>
  <c r="I69" i="20" s="1"/>
  <c r="J69" i="20" s="1"/>
  <c r="K69" i="20" s="1"/>
  <c r="I65" i="19"/>
  <c r="J65" i="19" s="1"/>
  <c r="K65" i="19" s="1"/>
  <c r="H66" i="19"/>
  <c r="G66" i="19"/>
  <c r="F67" i="19" s="1"/>
  <c r="H75" i="23"/>
  <c r="F76" i="23"/>
  <c r="G76" i="23" s="1"/>
  <c r="I76" i="23" s="1"/>
  <c r="J76" i="23" s="1"/>
  <c r="K76" i="23" s="1"/>
  <c r="H56" i="6"/>
  <c r="F79" i="22" l="1"/>
  <c r="G70" i="21"/>
  <c r="F71" i="21" s="1"/>
  <c r="G71" i="21" s="1"/>
  <c r="F70" i="20"/>
  <c r="H70" i="20" s="1"/>
  <c r="I66" i="19"/>
  <c r="J66" i="19" s="1"/>
  <c r="K66" i="19" s="1"/>
  <c r="H67" i="19"/>
  <c r="G67" i="19"/>
  <c r="I67" i="19" s="1"/>
  <c r="J67" i="19" s="1"/>
  <c r="K67" i="19" s="1"/>
  <c r="H76" i="23"/>
  <c r="F77" i="23"/>
  <c r="G77" i="23" s="1"/>
  <c r="F78" i="23" s="1"/>
  <c r="I56" i="6"/>
  <c r="J56" i="6" s="1"/>
  <c r="K56" i="6" s="1"/>
  <c r="F57" i="6"/>
  <c r="G57" i="6" s="1"/>
  <c r="H79" i="22" l="1"/>
  <c r="G79" i="22"/>
  <c r="I79" i="22" s="1"/>
  <c r="J79" i="22" s="1"/>
  <c r="K79" i="22" s="1"/>
  <c r="I71" i="21"/>
  <c r="J71" i="21" s="1"/>
  <c r="K71" i="21" s="1"/>
  <c r="F72" i="21"/>
  <c r="H72" i="21" s="1"/>
  <c r="H71" i="21"/>
  <c r="I70" i="21"/>
  <c r="J70" i="21" s="1"/>
  <c r="K70" i="21" s="1"/>
  <c r="G70" i="20"/>
  <c r="F71" i="20" s="1"/>
  <c r="G71" i="20" s="1"/>
  <c r="I71" i="20" s="1"/>
  <c r="J71" i="20" s="1"/>
  <c r="K71" i="20" s="1"/>
  <c r="F68" i="19"/>
  <c r="G68" i="19" s="1"/>
  <c r="I68" i="19" s="1"/>
  <c r="J68" i="19" s="1"/>
  <c r="K68" i="19" s="1"/>
  <c r="H77" i="23"/>
  <c r="I77" i="23"/>
  <c r="J77" i="23" s="1"/>
  <c r="K77" i="23" s="1"/>
  <c r="H78" i="23"/>
  <c r="G78" i="23"/>
  <c r="I78" i="23" s="1"/>
  <c r="J78" i="23" s="1"/>
  <c r="K78" i="23" s="1"/>
  <c r="H57" i="6"/>
  <c r="I57" i="6"/>
  <c r="H68" i="19" l="1"/>
  <c r="F80" i="22"/>
  <c r="G80" i="22" s="1"/>
  <c r="G72" i="21"/>
  <c r="I72" i="21" s="1"/>
  <c r="J72" i="21" s="1"/>
  <c r="K72" i="21" s="1"/>
  <c r="I70" i="20"/>
  <c r="J70" i="20" s="1"/>
  <c r="K70" i="20" s="1"/>
  <c r="H71" i="20"/>
  <c r="F72" i="20"/>
  <c r="F69" i="19"/>
  <c r="F79" i="23"/>
  <c r="G79" i="23" s="1"/>
  <c r="F80" i="23" s="1"/>
  <c r="J57" i="6"/>
  <c r="K57" i="6" s="1"/>
  <c r="H80" i="22" l="1"/>
  <c r="I80" i="22"/>
  <c r="J80" i="22" s="1"/>
  <c r="K80" i="22" s="1"/>
  <c r="F81" i="22"/>
  <c r="G81" i="22" s="1"/>
  <c r="F73" i="21"/>
  <c r="G73" i="21" s="1"/>
  <c r="I73" i="21" s="1"/>
  <c r="J73" i="21" s="1"/>
  <c r="K73" i="21" s="1"/>
  <c r="H72" i="20"/>
  <c r="G72" i="20"/>
  <c r="I72" i="20" s="1"/>
  <c r="J72" i="20" s="1"/>
  <c r="K72" i="20" s="1"/>
  <c r="G69" i="19"/>
  <c r="I69" i="19" s="1"/>
  <c r="J69" i="19" s="1"/>
  <c r="K69" i="19" s="1"/>
  <c r="H69" i="19"/>
  <c r="H79" i="23"/>
  <c r="I79" i="23"/>
  <c r="J79" i="23" s="1"/>
  <c r="K79" i="23" s="1"/>
  <c r="G80" i="23"/>
  <c r="I80" i="23" s="1"/>
  <c r="J80" i="23" s="1"/>
  <c r="K80" i="23" s="1"/>
  <c r="H80" i="23"/>
  <c r="F58" i="6"/>
  <c r="G58" i="6" s="1"/>
  <c r="F70" i="19" l="1"/>
  <c r="G70" i="19" s="1"/>
  <c r="I70" i="19" s="1"/>
  <c r="J70" i="19" s="1"/>
  <c r="K70" i="19" s="1"/>
  <c r="H81" i="22"/>
  <c r="I81" i="22"/>
  <c r="J81" i="22" s="1"/>
  <c r="K81" i="22" s="1"/>
  <c r="F82" i="22"/>
  <c r="F74" i="21"/>
  <c r="H74" i="21" s="1"/>
  <c r="H73" i="21"/>
  <c r="F73" i="20"/>
  <c r="H70" i="19"/>
  <c r="F81" i="23"/>
  <c r="G81" i="23" s="1"/>
  <c r="F82" i="23" s="1"/>
  <c r="F59" i="6"/>
  <c r="G59" i="6" s="1"/>
  <c r="H58" i="6"/>
  <c r="F71" i="19" l="1"/>
  <c r="H82" i="22"/>
  <c r="G82" i="22"/>
  <c r="I82" i="22" s="1"/>
  <c r="J82" i="22" s="1"/>
  <c r="K82" i="22" s="1"/>
  <c r="G74" i="21"/>
  <c r="I74" i="21" s="1"/>
  <c r="J74" i="21" s="1"/>
  <c r="K74" i="21" s="1"/>
  <c r="H73" i="20"/>
  <c r="G73" i="20"/>
  <c r="I73" i="20" s="1"/>
  <c r="J73" i="20" s="1"/>
  <c r="K73" i="20" s="1"/>
  <c r="G71" i="19"/>
  <c r="I71" i="19" s="1"/>
  <c r="J71" i="19" s="1"/>
  <c r="K71" i="19" s="1"/>
  <c r="H71" i="19"/>
  <c r="H81" i="23"/>
  <c r="I81" i="23"/>
  <c r="J81" i="23" s="1"/>
  <c r="K81" i="23" s="1"/>
  <c r="H82" i="23"/>
  <c r="G82" i="23"/>
  <c r="I82" i="23" s="1"/>
  <c r="J82" i="23" s="1"/>
  <c r="K82" i="23" s="1"/>
  <c r="I58" i="6"/>
  <c r="J58" i="6" s="1"/>
  <c r="K58" i="6" s="1"/>
  <c r="H59" i="6"/>
  <c r="F72" i="19" l="1"/>
  <c r="H72" i="19" s="1"/>
  <c r="F83" i="22"/>
  <c r="F75" i="21"/>
  <c r="G75" i="21" s="1"/>
  <c r="F74" i="20"/>
  <c r="G74" i="20" s="1"/>
  <c r="G72" i="19"/>
  <c r="F83" i="23"/>
  <c r="G83" i="23" s="1"/>
  <c r="F84" i="23" s="1"/>
  <c r="I59" i="6"/>
  <c r="J59" i="6" s="1"/>
  <c r="K59" i="6" s="1"/>
  <c r="F60" i="6"/>
  <c r="G60" i="6" s="1"/>
  <c r="H83" i="22" l="1"/>
  <c r="G83" i="22"/>
  <c r="F84" i="22" s="1"/>
  <c r="G84" i="22" s="1"/>
  <c r="I84" i="22" s="1"/>
  <c r="J84" i="22" s="1"/>
  <c r="K84" i="22" s="1"/>
  <c r="H75" i="21"/>
  <c r="I75" i="21"/>
  <c r="J75" i="21" s="1"/>
  <c r="K75" i="21" s="1"/>
  <c r="F76" i="21"/>
  <c r="I74" i="20"/>
  <c r="J74" i="20" s="1"/>
  <c r="K74" i="20" s="1"/>
  <c r="F75" i="20"/>
  <c r="H75" i="20" s="1"/>
  <c r="H74" i="20"/>
  <c r="I72" i="19"/>
  <c r="J72" i="19" s="1"/>
  <c r="K72" i="19" s="1"/>
  <c r="F73" i="19"/>
  <c r="H83" i="23"/>
  <c r="I83" i="23"/>
  <c r="J83" i="23" s="1"/>
  <c r="K83" i="23" s="1"/>
  <c r="H84" i="23"/>
  <c r="G84" i="23"/>
  <c r="I84" i="23" s="1"/>
  <c r="I60" i="6"/>
  <c r="J60" i="6" s="1"/>
  <c r="K60" i="6" s="1"/>
  <c r="H60" i="6"/>
  <c r="H84" i="22" l="1"/>
  <c r="I83" i="22"/>
  <c r="J83" i="22" s="1"/>
  <c r="K83" i="22" s="1"/>
  <c r="R3" i="22" s="1"/>
  <c r="F85" i="22"/>
  <c r="G76" i="21"/>
  <c r="H76" i="21"/>
  <c r="G75" i="20"/>
  <c r="I75" i="20" s="1"/>
  <c r="J75" i="20" s="1"/>
  <c r="K75" i="20" s="1"/>
  <c r="H73" i="19"/>
  <c r="G73" i="19"/>
  <c r="F61" i="6"/>
  <c r="J84" i="23"/>
  <c r="K84" i="23" s="1"/>
  <c r="G85" i="22" l="1"/>
  <c r="I85" i="22" s="1"/>
  <c r="J85" i="22" s="1"/>
  <c r="K85" i="22" s="1"/>
  <c r="H85" i="22"/>
  <c r="I76" i="21"/>
  <c r="J76" i="21" s="1"/>
  <c r="K76" i="21" s="1"/>
  <c r="F77" i="21"/>
  <c r="F76" i="20"/>
  <c r="H76" i="20" s="1"/>
  <c r="I73" i="19"/>
  <c r="J73" i="19" s="1"/>
  <c r="K73" i="19" s="1"/>
  <c r="F74" i="19"/>
  <c r="G61" i="6"/>
  <c r="I61" i="6" s="1"/>
  <c r="J61" i="6" s="1"/>
  <c r="K61" i="6" s="1"/>
  <c r="H61" i="6"/>
  <c r="F85" i="23"/>
  <c r="G85" i="23" s="1"/>
  <c r="I85" i="23" s="1"/>
  <c r="F86" i="22" l="1"/>
  <c r="G86" i="22" s="1"/>
  <c r="I86" i="22" s="1"/>
  <c r="J86" i="22" s="1"/>
  <c r="K86" i="22" s="1"/>
  <c r="H77" i="21"/>
  <c r="G77" i="21"/>
  <c r="G76" i="20"/>
  <c r="I76" i="20" s="1"/>
  <c r="J76" i="20" s="1"/>
  <c r="K76" i="20" s="1"/>
  <c r="G74" i="19"/>
  <c r="I74" i="19" s="1"/>
  <c r="J74" i="19" s="1"/>
  <c r="K74" i="19" s="1"/>
  <c r="H74" i="19"/>
  <c r="F62" i="6"/>
  <c r="G62" i="6" s="1"/>
  <c r="H85" i="23"/>
  <c r="J85" i="23"/>
  <c r="K85" i="23" s="1"/>
  <c r="F86" i="23"/>
  <c r="F75" i="19" l="1"/>
  <c r="H75" i="19" s="1"/>
  <c r="H86" i="22"/>
  <c r="F87" i="22"/>
  <c r="H87" i="22" s="1"/>
  <c r="F78" i="21"/>
  <c r="I77" i="21"/>
  <c r="J77" i="21" s="1"/>
  <c r="K77" i="21" s="1"/>
  <c r="F77" i="20"/>
  <c r="G77" i="20" s="1"/>
  <c r="I77" i="20" s="1"/>
  <c r="J77" i="20" s="1"/>
  <c r="K77" i="20" s="1"/>
  <c r="G75" i="19"/>
  <c r="F76" i="19" s="1"/>
  <c r="H62" i="6"/>
  <c r="G86" i="23"/>
  <c r="I86" i="23" s="1"/>
  <c r="H86" i="23"/>
  <c r="I62" i="6"/>
  <c r="J62" i="6" s="1"/>
  <c r="K62" i="6" s="1"/>
  <c r="F63" i="6"/>
  <c r="G63" i="6" s="1"/>
  <c r="G87" i="22" l="1"/>
  <c r="I87" i="22" s="1"/>
  <c r="J87" i="22" s="1"/>
  <c r="K87" i="22" s="1"/>
  <c r="H78" i="21"/>
  <c r="G78" i="21"/>
  <c r="I78" i="21" s="1"/>
  <c r="J78" i="21" s="1"/>
  <c r="K78" i="21" s="1"/>
  <c r="H77" i="20"/>
  <c r="F78" i="20"/>
  <c r="H78" i="20" s="1"/>
  <c r="H76" i="19"/>
  <c r="G76" i="19"/>
  <c r="I76" i="19" s="1"/>
  <c r="J76" i="19" s="1"/>
  <c r="K76" i="19" s="1"/>
  <c r="I75" i="19"/>
  <c r="J75" i="19" s="1"/>
  <c r="K75" i="19" s="1"/>
  <c r="J86" i="23"/>
  <c r="K86" i="23" s="1"/>
  <c r="H63" i="6"/>
  <c r="I63" i="6"/>
  <c r="F88" i="22" l="1"/>
  <c r="G88" i="22" s="1"/>
  <c r="I88" i="22" s="1"/>
  <c r="J88" i="22" s="1"/>
  <c r="K88" i="22" s="1"/>
  <c r="F79" i="21"/>
  <c r="H79" i="21" s="1"/>
  <c r="G78" i="20"/>
  <c r="I78" i="20" s="1"/>
  <c r="J78" i="20" s="1"/>
  <c r="K78" i="20" s="1"/>
  <c r="F77" i="19"/>
  <c r="F87" i="23"/>
  <c r="H87" i="23" s="1"/>
  <c r="J63" i="6"/>
  <c r="K63" i="6" s="1"/>
  <c r="F64" i="6"/>
  <c r="G64" i="6" s="1"/>
  <c r="F89" i="22" l="1"/>
  <c r="H89" i="22" s="1"/>
  <c r="H88" i="22"/>
  <c r="G79" i="21"/>
  <c r="I79" i="21" s="1"/>
  <c r="J79" i="21" s="1"/>
  <c r="K79" i="21" s="1"/>
  <c r="F79" i="20"/>
  <c r="H79" i="20" s="1"/>
  <c r="G77" i="19"/>
  <c r="H77" i="19"/>
  <c r="G87" i="23"/>
  <c r="I87" i="23" s="1"/>
  <c r="H64" i="6"/>
  <c r="G89" i="22" l="1"/>
  <c r="I89" i="22" s="1"/>
  <c r="J89" i="22" s="1"/>
  <c r="K89" i="22" s="1"/>
  <c r="F80" i="21"/>
  <c r="G80" i="21" s="1"/>
  <c r="I80" i="21" s="1"/>
  <c r="J80" i="21" s="1"/>
  <c r="K80" i="21" s="1"/>
  <c r="G79" i="20"/>
  <c r="I79" i="20" s="1"/>
  <c r="J79" i="20" s="1"/>
  <c r="K79" i="20" s="1"/>
  <c r="I77" i="19"/>
  <c r="J77" i="19" s="1"/>
  <c r="K77" i="19" s="1"/>
  <c r="F78" i="19"/>
  <c r="J87" i="23"/>
  <c r="K87" i="23" s="1"/>
  <c r="I64" i="6"/>
  <c r="J64" i="6" s="1"/>
  <c r="K64" i="6" s="1"/>
  <c r="F65" i="6"/>
  <c r="G65" i="6" s="1"/>
  <c r="F90" i="22" l="1"/>
  <c r="H90" i="22" s="1"/>
  <c r="H80" i="21"/>
  <c r="F81" i="21"/>
  <c r="F80" i="20"/>
  <c r="H80" i="20" s="1"/>
  <c r="H78" i="19"/>
  <c r="G78" i="19"/>
  <c r="F88" i="23"/>
  <c r="G88" i="23" s="1"/>
  <c r="I88" i="23" s="1"/>
  <c r="I65" i="6"/>
  <c r="H65" i="6"/>
  <c r="F66" i="6"/>
  <c r="G66" i="6" s="1"/>
  <c r="G90" i="22" l="1"/>
  <c r="I90" i="22" s="1"/>
  <c r="J90" i="22" s="1"/>
  <c r="K90" i="22" s="1"/>
  <c r="G81" i="21"/>
  <c r="I81" i="21" s="1"/>
  <c r="J81" i="21" s="1"/>
  <c r="K81" i="21" s="1"/>
  <c r="H81" i="21"/>
  <c r="G80" i="20"/>
  <c r="I80" i="20" s="1"/>
  <c r="J80" i="20" s="1"/>
  <c r="K80" i="20" s="1"/>
  <c r="I78" i="19"/>
  <c r="J78" i="19" s="1"/>
  <c r="K78" i="19" s="1"/>
  <c r="F79" i="19"/>
  <c r="H88" i="23"/>
  <c r="J88" i="23"/>
  <c r="K88" i="23" s="1"/>
  <c r="F89" i="23"/>
  <c r="G89" i="23" s="1"/>
  <c r="I89" i="23" s="1"/>
  <c r="H66" i="6"/>
  <c r="J65" i="6"/>
  <c r="K65" i="6" s="1"/>
  <c r="I66" i="6"/>
  <c r="F91" i="22" l="1"/>
  <c r="H91" i="22" s="1"/>
  <c r="F82" i="21"/>
  <c r="F81" i="20"/>
  <c r="H81" i="20" s="1"/>
  <c r="G79" i="19"/>
  <c r="I79" i="19" s="1"/>
  <c r="J79" i="19" s="1"/>
  <c r="K79" i="19" s="1"/>
  <c r="H79" i="19"/>
  <c r="J89" i="23"/>
  <c r="K89" i="23" s="1"/>
  <c r="H89" i="23"/>
  <c r="F90" i="23"/>
  <c r="H90" i="23" s="1"/>
  <c r="J66" i="6"/>
  <c r="K66" i="6" s="1"/>
  <c r="F67" i="6"/>
  <c r="G67" i="6" s="1"/>
  <c r="G91" i="22" l="1"/>
  <c r="F92" i="22" s="1"/>
  <c r="H92" i="22" s="1"/>
  <c r="G82" i="21"/>
  <c r="F83" i="21" s="1"/>
  <c r="H82" i="21"/>
  <c r="G81" i="20"/>
  <c r="F82" i="20" s="1"/>
  <c r="H82" i="20" s="1"/>
  <c r="F80" i="19"/>
  <c r="G90" i="23"/>
  <c r="I90" i="23" s="1"/>
  <c r="I67" i="6"/>
  <c r="H67" i="6"/>
  <c r="I91" i="22" l="1"/>
  <c r="J91" i="22" s="1"/>
  <c r="K91" i="22" s="1"/>
  <c r="G92" i="22"/>
  <c r="I92" i="22" s="1"/>
  <c r="J92" i="22" s="1"/>
  <c r="K92" i="22" s="1"/>
  <c r="H83" i="21"/>
  <c r="G83" i="21"/>
  <c r="F84" i="21" s="1"/>
  <c r="I82" i="21"/>
  <c r="J82" i="21" s="1"/>
  <c r="K82" i="21" s="1"/>
  <c r="I81" i="20"/>
  <c r="J81" i="20" s="1"/>
  <c r="K81" i="20" s="1"/>
  <c r="G82" i="20"/>
  <c r="I82" i="20" s="1"/>
  <c r="J82" i="20" s="1"/>
  <c r="K82" i="20" s="1"/>
  <c r="G80" i="19"/>
  <c r="F81" i="19" s="1"/>
  <c r="H80" i="19"/>
  <c r="J90" i="23"/>
  <c r="K90" i="23" s="1"/>
  <c r="J67" i="6"/>
  <c r="K67" i="6" s="1"/>
  <c r="F68" i="6"/>
  <c r="G68" i="6" s="1"/>
  <c r="F93" i="22" l="1"/>
  <c r="H93" i="22" s="1"/>
  <c r="I83" i="21"/>
  <c r="J83" i="21" s="1"/>
  <c r="K83" i="21" s="1"/>
  <c r="G84" i="21"/>
  <c r="F85" i="21" s="1"/>
  <c r="H84" i="21"/>
  <c r="F83" i="20"/>
  <c r="H83" i="20" s="1"/>
  <c r="I80" i="19"/>
  <c r="J80" i="19" s="1"/>
  <c r="K80" i="19" s="1"/>
  <c r="G81" i="19"/>
  <c r="I81" i="19" s="1"/>
  <c r="J81" i="19" s="1"/>
  <c r="K81" i="19" s="1"/>
  <c r="H81" i="19"/>
  <c r="F91" i="23"/>
  <c r="H91" i="23" s="1"/>
  <c r="H68" i="6"/>
  <c r="I68" i="6"/>
  <c r="G93" i="22" l="1"/>
  <c r="I93" i="22" s="1"/>
  <c r="J93" i="22" s="1"/>
  <c r="K93" i="22" s="1"/>
  <c r="I84" i="21"/>
  <c r="J84" i="21" s="1"/>
  <c r="K84" i="21" s="1"/>
  <c r="R3" i="21" s="1"/>
  <c r="G85" i="21"/>
  <c r="I85" i="21" s="1"/>
  <c r="J85" i="21" s="1"/>
  <c r="K85" i="21" s="1"/>
  <c r="H85" i="21"/>
  <c r="G83" i="20"/>
  <c r="I83" i="20" s="1"/>
  <c r="J83" i="20" s="1"/>
  <c r="K83" i="20" s="1"/>
  <c r="F82" i="19"/>
  <c r="G82" i="19" s="1"/>
  <c r="F83" i="19" s="1"/>
  <c r="G91" i="23"/>
  <c r="I91" i="23" s="1"/>
  <c r="J68" i="6"/>
  <c r="K68" i="6" s="1"/>
  <c r="F69" i="6"/>
  <c r="G69" i="6" s="1"/>
  <c r="H82" i="19" l="1"/>
  <c r="F94" i="22"/>
  <c r="H94" i="22" s="1"/>
  <c r="F86" i="21"/>
  <c r="F84" i="20"/>
  <c r="H84" i="20" s="1"/>
  <c r="I82" i="19"/>
  <c r="J82" i="19" s="1"/>
  <c r="K82" i="19" s="1"/>
  <c r="G83" i="19"/>
  <c r="I83" i="19" s="1"/>
  <c r="J83" i="19" s="1"/>
  <c r="K83" i="19" s="1"/>
  <c r="H83" i="19"/>
  <c r="J91" i="23"/>
  <c r="K91" i="23" s="1"/>
  <c r="H69" i="6"/>
  <c r="F84" i="19" l="1"/>
  <c r="G94" i="22"/>
  <c r="I94" i="22" s="1"/>
  <c r="J94" i="22" s="1"/>
  <c r="K94" i="22" s="1"/>
  <c r="H86" i="21"/>
  <c r="G86" i="21"/>
  <c r="G84" i="20"/>
  <c r="I84" i="20" s="1"/>
  <c r="H84" i="19"/>
  <c r="G84" i="19"/>
  <c r="I84" i="19" s="1"/>
  <c r="J84" i="19" s="1"/>
  <c r="K84" i="19" s="1"/>
  <c r="R3" i="19" s="1"/>
  <c r="F92" i="23"/>
  <c r="G92" i="23" s="1"/>
  <c r="I92" i="23" s="1"/>
  <c r="I69" i="6"/>
  <c r="J69" i="6" s="1"/>
  <c r="K69" i="6" s="1"/>
  <c r="F70" i="6"/>
  <c r="G70" i="6" s="1"/>
  <c r="F95" i="22" l="1"/>
  <c r="G95" i="22" s="1"/>
  <c r="I95" i="22" s="1"/>
  <c r="I86" i="21"/>
  <c r="J86" i="21" s="1"/>
  <c r="K86" i="21" s="1"/>
  <c r="F87" i="21"/>
  <c r="J84" i="20"/>
  <c r="K84" i="20" s="1"/>
  <c r="R3" i="20" s="1"/>
  <c r="F85" i="20"/>
  <c r="G85" i="20" s="1"/>
  <c r="I85" i="20" s="1"/>
  <c r="F86" i="20" s="1"/>
  <c r="G86" i="20" s="1"/>
  <c r="I86" i="20" s="1"/>
  <c r="F87" i="20" s="1"/>
  <c r="G87" i="20" s="1"/>
  <c r="I87" i="20" s="1"/>
  <c r="F85" i="19"/>
  <c r="H85" i="19" s="1"/>
  <c r="H92" i="23"/>
  <c r="J92" i="23"/>
  <c r="K92" i="23" s="1"/>
  <c r="F93" i="23"/>
  <c r="G93" i="23" s="1"/>
  <c r="I93" i="23" s="1"/>
  <c r="H70" i="6"/>
  <c r="H95" i="22" l="1"/>
  <c r="G85" i="19"/>
  <c r="I85" i="19" s="1"/>
  <c r="J85" i="19" s="1"/>
  <c r="K85" i="19" s="1"/>
  <c r="G87" i="21"/>
  <c r="H87" i="21"/>
  <c r="H85" i="20"/>
  <c r="J86" i="20"/>
  <c r="K86" i="20" s="1"/>
  <c r="H86" i="20"/>
  <c r="J85" i="20"/>
  <c r="K85" i="20" s="1"/>
  <c r="H87" i="20"/>
  <c r="J87" i="20"/>
  <c r="K87" i="20" s="1"/>
  <c r="F88" i="20"/>
  <c r="G88" i="20" s="1"/>
  <c r="I88" i="20" s="1"/>
  <c r="F89" i="20" s="1"/>
  <c r="F86" i="19"/>
  <c r="H86" i="19" s="1"/>
  <c r="H93" i="23"/>
  <c r="J93" i="23"/>
  <c r="K93" i="23" s="1"/>
  <c r="J95" i="22"/>
  <c r="K95" i="22" s="1"/>
  <c r="I70" i="6"/>
  <c r="J70" i="6" s="1"/>
  <c r="K70" i="6" s="1"/>
  <c r="F71" i="6"/>
  <c r="G71" i="6" s="1"/>
  <c r="I87" i="21" l="1"/>
  <c r="J87" i="21" s="1"/>
  <c r="K87" i="21" s="1"/>
  <c r="F88" i="21"/>
  <c r="J88" i="20"/>
  <c r="K88" i="20" s="1"/>
  <c r="H88" i="20"/>
  <c r="H89" i="20"/>
  <c r="G89" i="20"/>
  <c r="I89" i="20" s="1"/>
  <c r="G86" i="19"/>
  <c r="I86" i="19" s="1"/>
  <c r="J86" i="19" s="1"/>
  <c r="K86" i="19" s="1"/>
  <c r="F94" i="23"/>
  <c r="H94" i="23" s="1"/>
  <c r="F96" i="22"/>
  <c r="H71" i="6"/>
  <c r="I71" i="6"/>
  <c r="G88" i="21" l="1"/>
  <c r="H88" i="21"/>
  <c r="J89" i="20"/>
  <c r="K89" i="20" s="1"/>
  <c r="F87" i="19"/>
  <c r="H87" i="19" s="1"/>
  <c r="G94" i="23"/>
  <c r="I94" i="23" s="1"/>
  <c r="G96" i="22"/>
  <c r="I96" i="22" s="1"/>
  <c r="H96" i="22"/>
  <c r="J71" i="6"/>
  <c r="K71" i="6" s="1"/>
  <c r="F72" i="6"/>
  <c r="G72" i="6" s="1"/>
  <c r="G87" i="19" l="1"/>
  <c r="I87" i="19" s="1"/>
  <c r="J87" i="19" s="1"/>
  <c r="K87" i="19" s="1"/>
  <c r="F89" i="21"/>
  <c r="I88" i="21"/>
  <c r="J88" i="21" s="1"/>
  <c r="K88" i="21" s="1"/>
  <c r="F90" i="20"/>
  <c r="F88" i="19"/>
  <c r="F95" i="23"/>
  <c r="G95" i="23" s="1"/>
  <c r="J94" i="23"/>
  <c r="K94" i="23" s="1"/>
  <c r="J96" i="22"/>
  <c r="K96" i="22" s="1"/>
  <c r="I72" i="6"/>
  <c r="J72" i="6" s="1"/>
  <c r="K72" i="6" s="1"/>
  <c r="H72" i="6"/>
  <c r="G89" i="21" l="1"/>
  <c r="I89" i="21" s="1"/>
  <c r="J89" i="21" s="1"/>
  <c r="K89" i="21" s="1"/>
  <c r="H89" i="21"/>
  <c r="H90" i="20"/>
  <c r="G90" i="20"/>
  <c r="I90" i="20" s="1"/>
  <c r="G88" i="19"/>
  <c r="I88" i="19" s="1"/>
  <c r="J88" i="19" s="1"/>
  <c r="K88" i="19" s="1"/>
  <c r="H88" i="19"/>
  <c r="F73" i="6"/>
  <c r="G73" i="6" s="1"/>
  <c r="H95" i="23"/>
  <c r="I95" i="23"/>
  <c r="J95" i="23" s="1"/>
  <c r="K95" i="23" s="1"/>
  <c r="F97" i="22"/>
  <c r="H97" i="22" s="1"/>
  <c r="F90" i="21" l="1"/>
  <c r="H90" i="21" s="1"/>
  <c r="J90" i="20"/>
  <c r="K90" i="20" s="1"/>
  <c r="F89" i="19"/>
  <c r="H89" i="19" s="1"/>
  <c r="H73" i="6"/>
  <c r="I73" i="6"/>
  <c r="J73" i="6" s="1"/>
  <c r="K73" i="6" s="1"/>
  <c r="F74" i="6"/>
  <c r="F96" i="23"/>
  <c r="G97" i="22"/>
  <c r="I97" i="22" s="1"/>
  <c r="G90" i="21" l="1"/>
  <c r="I90" i="21" s="1"/>
  <c r="J90" i="21" s="1"/>
  <c r="K90" i="21" s="1"/>
  <c r="F91" i="20"/>
  <c r="G91" i="20" s="1"/>
  <c r="I91" i="20" s="1"/>
  <c r="G89" i="19"/>
  <c r="I89" i="19" s="1"/>
  <c r="J89" i="19" s="1"/>
  <c r="K89" i="19" s="1"/>
  <c r="H74" i="6"/>
  <c r="G74" i="6"/>
  <c r="I74" i="6" s="1"/>
  <c r="J74" i="6" s="1"/>
  <c r="K74" i="6" s="1"/>
  <c r="G96" i="23"/>
  <c r="I96" i="23" s="1"/>
  <c r="H96" i="23"/>
  <c r="J97" i="22"/>
  <c r="K97" i="22" s="1"/>
  <c r="F90" i="19" l="1"/>
  <c r="H90" i="19" s="1"/>
  <c r="F91" i="21"/>
  <c r="G91" i="21" s="1"/>
  <c r="I91" i="21" s="1"/>
  <c r="J91" i="21" s="1"/>
  <c r="K91" i="21" s="1"/>
  <c r="J91" i="20"/>
  <c r="K91" i="20" s="1"/>
  <c r="H91" i="20"/>
  <c r="F92" i="20"/>
  <c r="G92" i="20" s="1"/>
  <c r="I92" i="20" s="1"/>
  <c r="G90" i="19"/>
  <c r="I90" i="19" s="1"/>
  <c r="J90" i="19" s="1"/>
  <c r="K90" i="19" s="1"/>
  <c r="F75" i="6"/>
  <c r="J96" i="23"/>
  <c r="K96" i="23" s="1"/>
  <c r="F98" i="22"/>
  <c r="F92" i="21" l="1"/>
  <c r="H92" i="21" s="1"/>
  <c r="H91" i="21"/>
  <c r="H92" i="20"/>
  <c r="F93" i="20"/>
  <c r="J92" i="20"/>
  <c r="K92" i="20" s="1"/>
  <c r="F91" i="19"/>
  <c r="H91" i="19" s="1"/>
  <c r="H75" i="6"/>
  <c r="G75" i="6"/>
  <c r="F76" i="6" s="1"/>
  <c r="F97" i="23"/>
  <c r="H97" i="23" s="1"/>
  <c r="G98" i="22"/>
  <c r="I98" i="22" s="1"/>
  <c r="H98" i="22"/>
  <c r="G91" i="19" l="1"/>
  <c r="I91" i="19" s="1"/>
  <c r="J91" i="19" s="1"/>
  <c r="K91" i="19" s="1"/>
  <c r="G92" i="21"/>
  <c r="I92" i="21" s="1"/>
  <c r="J92" i="21" s="1"/>
  <c r="K92" i="21" s="1"/>
  <c r="H93" i="20"/>
  <c r="G93" i="20"/>
  <c r="I93" i="20" s="1"/>
  <c r="F92" i="19"/>
  <c r="H92" i="19" s="1"/>
  <c r="G76" i="6"/>
  <c r="F77" i="6" s="1"/>
  <c r="I75" i="6"/>
  <c r="J75" i="6" s="1"/>
  <c r="K75" i="6" s="1"/>
  <c r="H76" i="6"/>
  <c r="G97" i="23"/>
  <c r="I97" i="23" s="1"/>
  <c r="J98" i="22"/>
  <c r="K98" i="22" s="1"/>
  <c r="I76" i="6" l="1"/>
  <c r="J76" i="6" s="1"/>
  <c r="K76" i="6" s="1"/>
  <c r="F93" i="21"/>
  <c r="H93" i="21" s="1"/>
  <c r="J93" i="20"/>
  <c r="K93" i="20" s="1"/>
  <c r="G92" i="19"/>
  <c r="I92" i="19" s="1"/>
  <c r="J92" i="19" s="1"/>
  <c r="K92" i="19" s="1"/>
  <c r="G77" i="6"/>
  <c r="I77" i="6" s="1"/>
  <c r="J77" i="6" s="1"/>
  <c r="K77" i="6" s="1"/>
  <c r="H77" i="6"/>
  <c r="J97" i="23"/>
  <c r="K97" i="23" s="1"/>
  <c r="F99" i="22"/>
  <c r="F78" i="6" l="1"/>
  <c r="G78" i="6" s="1"/>
  <c r="I78" i="6" s="1"/>
  <c r="J78" i="6" s="1"/>
  <c r="K78" i="6" s="1"/>
  <c r="G93" i="21"/>
  <c r="I93" i="21" s="1"/>
  <c r="J93" i="21" s="1"/>
  <c r="K93" i="21" s="1"/>
  <c r="F94" i="20"/>
  <c r="F93" i="19"/>
  <c r="F98" i="23"/>
  <c r="H98" i="23" s="1"/>
  <c r="G99" i="22"/>
  <c r="I99" i="22" s="1"/>
  <c r="H99" i="22"/>
  <c r="F79" i="6" l="1"/>
  <c r="G79" i="6" s="1"/>
  <c r="H78" i="6"/>
  <c r="F94" i="21"/>
  <c r="H94" i="21" s="1"/>
  <c r="H94" i="20"/>
  <c r="G94" i="20"/>
  <c r="I94" i="20" s="1"/>
  <c r="H93" i="19"/>
  <c r="G93" i="19"/>
  <c r="G98" i="23"/>
  <c r="I98" i="23" s="1"/>
  <c r="J99" i="22"/>
  <c r="K99" i="22" s="1"/>
  <c r="I79" i="6" l="1"/>
  <c r="J79" i="6" s="1"/>
  <c r="K79" i="6" s="1"/>
  <c r="H79" i="6"/>
  <c r="F80" i="6"/>
  <c r="G80" i="6" s="1"/>
  <c r="I80" i="6" s="1"/>
  <c r="J80" i="6" s="1"/>
  <c r="K80" i="6" s="1"/>
  <c r="G94" i="21"/>
  <c r="I94" i="21" s="1"/>
  <c r="J94" i="21" s="1"/>
  <c r="K94" i="21" s="1"/>
  <c r="J94" i="20"/>
  <c r="K94" i="20" s="1"/>
  <c r="I93" i="19"/>
  <c r="J93" i="19" s="1"/>
  <c r="K93" i="19" s="1"/>
  <c r="F94" i="19"/>
  <c r="J98" i="23"/>
  <c r="K98" i="23" s="1"/>
  <c r="F100" i="22"/>
  <c r="H80" i="6" l="1"/>
  <c r="F95" i="21"/>
  <c r="H95" i="21" s="1"/>
  <c r="F95" i="20"/>
  <c r="G95" i="20" s="1"/>
  <c r="I95" i="20" s="1"/>
  <c r="G94" i="19"/>
  <c r="H94" i="19"/>
  <c r="F81" i="6"/>
  <c r="F99" i="23"/>
  <c r="G100" i="22"/>
  <c r="I100" i="22" s="1"/>
  <c r="H100" i="22"/>
  <c r="G95" i="21" l="1"/>
  <c r="I95" i="21" s="1"/>
  <c r="J95" i="21" s="1"/>
  <c r="K95" i="21" s="1"/>
  <c r="H95" i="20"/>
  <c r="J95" i="20"/>
  <c r="K95" i="20" s="1"/>
  <c r="F96" i="20"/>
  <c r="G96" i="20" s="1"/>
  <c r="I96" i="20" s="1"/>
  <c r="I94" i="19"/>
  <c r="J94" i="19" s="1"/>
  <c r="K94" i="19" s="1"/>
  <c r="F95" i="19"/>
  <c r="G81" i="6"/>
  <c r="I81" i="6" s="1"/>
  <c r="J81" i="6" s="1"/>
  <c r="K81" i="6" s="1"/>
  <c r="H81" i="6"/>
  <c r="G99" i="23"/>
  <c r="I99" i="23" s="1"/>
  <c r="H99" i="23"/>
  <c r="J100" i="22"/>
  <c r="K100" i="22" s="1"/>
  <c r="F82" i="6" l="1"/>
  <c r="G82" i="6" s="1"/>
  <c r="I82" i="6" s="1"/>
  <c r="F96" i="21"/>
  <c r="H96" i="21" s="1"/>
  <c r="H96" i="20"/>
  <c r="J96" i="20"/>
  <c r="K96" i="20" s="1"/>
  <c r="F97" i="20"/>
  <c r="H97" i="20" s="1"/>
  <c r="G95" i="19"/>
  <c r="F96" i="19" s="1"/>
  <c r="H95" i="19"/>
  <c r="J99" i="23"/>
  <c r="K99" i="23" s="1"/>
  <c r="F101" i="22"/>
  <c r="H101" i="22" s="1"/>
  <c r="H82" i="6" l="1"/>
  <c r="G96" i="21"/>
  <c r="I96" i="21" s="1"/>
  <c r="J96" i="21" s="1"/>
  <c r="K96" i="21" s="1"/>
  <c r="G97" i="20"/>
  <c r="I97" i="20" s="1"/>
  <c r="I95" i="19"/>
  <c r="J95" i="19" s="1"/>
  <c r="K95" i="19" s="1"/>
  <c r="H96" i="19"/>
  <c r="G96" i="19"/>
  <c r="F100" i="23"/>
  <c r="G101" i="22"/>
  <c r="I101" i="22" s="1"/>
  <c r="F97" i="21" l="1"/>
  <c r="G97" i="21" s="1"/>
  <c r="J97" i="20"/>
  <c r="K97" i="20" s="1"/>
  <c r="I96" i="19"/>
  <c r="J96" i="19" s="1"/>
  <c r="K96" i="19" s="1"/>
  <c r="F97" i="19"/>
  <c r="G100" i="23"/>
  <c r="I100" i="23" s="1"/>
  <c r="H100" i="23"/>
  <c r="J101" i="22"/>
  <c r="K101" i="22" s="1"/>
  <c r="F98" i="20"/>
  <c r="H98" i="20" s="1"/>
  <c r="J82" i="6"/>
  <c r="K82" i="6" s="1"/>
  <c r="F98" i="21" l="1"/>
  <c r="G98" i="21" s="1"/>
  <c r="I98" i="21" s="1"/>
  <c r="J98" i="21" s="1"/>
  <c r="K98" i="21" s="1"/>
  <c r="I97" i="21"/>
  <c r="J97" i="21" s="1"/>
  <c r="K97" i="21" s="1"/>
  <c r="H97" i="21"/>
  <c r="H97" i="19"/>
  <c r="G97" i="19"/>
  <c r="I97" i="19" s="1"/>
  <c r="J97" i="19" s="1"/>
  <c r="K97" i="19" s="1"/>
  <c r="J100" i="23"/>
  <c r="K100" i="23" s="1"/>
  <c r="F102" i="22"/>
  <c r="H102" i="22" s="1"/>
  <c r="G98" i="20"/>
  <c r="I98" i="20" s="1"/>
  <c r="F83" i="6"/>
  <c r="G83" i="6" s="1"/>
  <c r="H98" i="21" l="1"/>
  <c r="F99" i="21"/>
  <c r="G99" i="21" s="1"/>
  <c r="F98" i="19"/>
  <c r="F101" i="23"/>
  <c r="G102" i="22"/>
  <c r="I102" i="22" s="1"/>
  <c r="J98" i="20"/>
  <c r="K98" i="20" s="1"/>
  <c r="H83" i="6"/>
  <c r="I83" i="6"/>
  <c r="H99" i="21" l="1"/>
  <c r="F100" i="21"/>
  <c r="I99" i="21"/>
  <c r="J99" i="21" s="1"/>
  <c r="K99" i="21" s="1"/>
  <c r="H98" i="19"/>
  <c r="G98" i="19"/>
  <c r="I98" i="19" s="1"/>
  <c r="J98" i="19" s="1"/>
  <c r="K98" i="19" s="1"/>
  <c r="G101" i="23"/>
  <c r="I101" i="23" s="1"/>
  <c r="H101" i="23"/>
  <c r="J102" i="22"/>
  <c r="K102" i="22" s="1"/>
  <c r="F99" i="20"/>
  <c r="J83" i="6"/>
  <c r="K83" i="6" s="1"/>
  <c r="F84" i="6"/>
  <c r="G84" i="6" s="1"/>
  <c r="G100" i="21" l="1"/>
  <c r="H100" i="21"/>
  <c r="F99" i="19"/>
  <c r="G99" i="19" s="1"/>
  <c r="I99" i="19" s="1"/>
  <c r="J99" i="19" s="1"/>
  <c r="K99" i="19" s="1"/>
  <c r="J101" i="23"/>
  <c r="K101" i="23" s="1"/>
  <c r="F103" i="22"/>
  <c r="G99" i="20"/>
  <c r="I99" i="20" s="1"/>
  <c r="H99" i="20"/>
  <c r="I84" i="6"/>
  <c r="H84" i="6"/>
  <c r="H99" i="19" l="1"/>
  <c r="I100" i="21"/>
  <c r="J100" i="21" s="1"/>
  <c r="K100" i="21" s="1"/>
  <c r="F101" i="21"/>
  <c r="F102" i="23"/>
  <c r="G103" i="22"/>
  <c r="I103" i="22" s="1"/>
  <c r="H103" i="22"/>
  <c r="J99" i="20"/>
  <c r="K99" i="20" s="1"/>
  <c r="F100" i="19"/>
  <c r="J84" i="6"/>
  <c r="K84" i="6" s="1"/>
  <c r="R3" i="6" s="1"/>
  <c r="F85" i="6"/>
  <c r="G85" i="6" s="1"/>
  <c r="H101" i="21" l="1"/>
  <c r="G101" i="21"/>
  <c r="I101" i="21" s="1"/>
  <c r="J101" i="21" s="1"/>
  <c r="K101" i="21" s="1"/>
  <c r="G102" i="23"/>
  <c r="I102" i="23" s="1"/>
  <c r="H102" i="23"/>
  <c r="J103" i="22"/>
  <c r="K103" i="22" s="1"/>
  <c r="F100" i="20"/>
  <c r="G100" i="19"/>
  <c r="I100" i="19" s="1"/>
  <c r="H100" i="19"/>
  <c r="H85" i="6"/>
  <c r="F102" i="21" l="1"/>
  <c r="J102" i="23"/>
  <c r="K102" i="23" s="1"/>
  <c r="F104" i="22"/>
  <c r="G100" i="20"/>
  <c r="I100" i="20" s="1"/>
  <c r="H100" i="20"/>
  <c r="J100" i="19"/>
  <c r="K100" i="19" s="1"/>
  <c r="I85" i="6"/>
  <c r="H102" i="21" l="1"/>
  <c r="G102" i="21"/>
  <c r="I102" i="21" s="1"/>
  <c r="J102" i="21" s="1"/>
  <c r="K102" i="21" s="1"/>
  <c r="F103" i="23"/>
  <c r="G104" i="22"/>
  <c r="I104" i="22" s="1"/>
  <c r="H104" i="22"/>
  <c r="J100" i="20"/>
  <c r="K100" i="20" s="1"/>
  <c r="F101" i="19"/>
  <c r="F86" i="6"/>
  <c r="J85" i="6"/>
  <c r="K85" i="6" s="1"/>
  <c r="F103" i="21" l="1"/>
  <c r="H86" i="6"/>
  <c r="G86" i="6"/>
  <c r="G103" i="23"/>
  <c r="I103" i="23" s="1"/>
  <c r="H103" i="23"/>
  <c r="J104" i="22"/>
  <c r="K104" i="22" s="1"/>
  <c r="F101" i="20"/>
  <c r="G101" i="19"/>
  <c r="I101" i="19" s="1"/>
  <c r="H101" i="19"/>
  <c r="G103" i="21" l="1"/>
  <c r="I103" i="21" s="1"/>
  <c r="J103" i="21" s="1"/>
  <c r="K103" i="21" s="1"/>
  <c r="H103" i="21"/>
  <c r="J103" i="23"/>
  <c r="K103" i="23" s="1"/>
  <c r="F105" i="22"/>
  <c r="F104" i="21"/>
  <c r="G101" i="20"/>
  <c r="I101" i="20" s="1"/>
  <c r="H101" i="20"/>
  <c r="J101" i="19"/>
  <c r="K101" i="19" s="1"/>
  <c r="I86" i="6"/>
  <c r="F104" i="23" l="1"/>
  <c r="G105" i="22"/>
  <c r="I105" i="22" s="1"/>
  <c r="H105" i="22"/>
  <c r="G104" i="21"/>
  <c r="I104" i="21" s="1"/>
  <c r="H104" i="21"/>
  <c r="J101" i="20"/>
  <c r="K101" i="20" s="1"/>
  <c r="F102" i="19"/>
  <c r="F87" i="6"/>
  <c r="J86" i="6"/>
  <c r="K86" i="6" s="1"/>
  <c r="H87" i="6" l="1"/>
  <c r="G87" i="6"/>
  <c r="G104" i="23"/>
  <c r="I104" i="23" s="1"/>
  <c r="H104" i="23"/>
  <c r="J105" i="22"/>
  <c r="K105" i="22" s="1"/>
  <c r="J104" i="21"/>
  <c r="K104" i="21" s="1"/>
  <c r="F102" i="20"/>
  <c r="G102" i="19"/>
  <c r="I102" i="19" s="1"/>
  <c r="H102" i="19"/>
  <c r="J104" i="23" l="1"/>
  <c r="K104" i="23" s="1"/>
  <c r="F106" i="22"/>
  <c r="F105" i="21"/>
  <c r="H105" i="21" s="1"/>
  <c r="G102" i="20"/>
  <c r="I102" i="20" s="1"/>
  <c r="H102" i="20"/>
  <c r="J102" i="19"/>
  <c r="K102" i="19" s="1"/>
  <c r="I87" i="6"/>
  <c r="F105" i="23" l="1"/>
  <c r="H105" i="23" s="1"/>
  <c r="G106" i="22"/>
  <c r="I106" i="22" s="1"/>
  <c r="H106" i="22"/>
  <c r="G105" i="21"/>
  <c r="I105" i="21" s="1"/>
  <c r="J102" i="20"/>
  <c r="K102" i="20" s="1"/>
  <c r="F103" i="19"/>
  <c r="F88" i="6"/>
  <c r="J87" i="6"/>
  <c r="K87" i="6" s="1"/>
  <c r="H88" i="6" l="1"/>
  <c r="G88" i="6"/>
  <c r="I88" i="6" s="1"/>
  <c r="G105" i="23"/>
  <c r="I105" i="23" s="1"/>
  <c r="J106" i="22"/>
  <c r="K106" i="22" s="1"/>
  <c r="J105" i="21"/>
  <c r="K105" i="21" s="1"/>
  <c r="F103" i="20"/>
  <c r="G103" i="19"/>
  <c r="I103" i="19" s="1"/>
  <c r="H103" i="19"/>
  <c r="J105" i="23" l="1"/>
  <c r="K105" i="23" s="1"/>
  <c r="F107" i="22"/>
  <c r="F106" i="21"/>
  <c r="H106" i="21" s="1"/>
  <c r="G103" i="20"/>
  <c r="I103" i="20" s="1"/>
  <c r="H103" i="20"/>
  <c r="J103" i="19"/>
  <c r="K103" i="19" s="1"/>
  <c r="J88" i="6"/>
  <c r="K88" i="6" s="1"/>
  <c r="F106" i="23" l="1"/>
  <c r="H106" i="23" s="1"/>
  <c r="G107" i="22"/>
  <c r="I107" i="22" s="1"/>
  <c r="H107" i="22"/>
  <c r="G106" i="21"/>
  <c r="I106" i="21" s="1"/>
  <c r="J103" i="20"/>
  <c r="K103" i="20" s="1"/>
  <c r="F104" i="19"/>
  <c r="F89" i="6"/>
  <c r="H89" i="6" l="1"/>
  <c r="G89" i="6"/>
  <c r="G106" i="23"/>
  <c r="I106" i="23" s="1"/>
  <c r="J107" i="22"/>
  <c r="K107" i="22" s="1"/>
  <c r="J106" i="21"/>
  <c r="K106" i="21" s="1"/>
  <c r="F104" i="20"/>
  <c r="G104" i="19"/>
  <c r="I104" i="19" s="1"/>
  <c r="H104" i="19"/>
  <c r="J106" i="23" l="1"/>
  <c r="K106" i="23" s="1"/>
  <c r="F108" i="22"/>
  <c r="F107" i="21"/>
  <c r="G104" i="20"/>
  <c r="I104" i="20" s="1"/>
  <c r="H104" i="20"/>
  <c r="J104" i="19"/>
  <c r="K104" i="19" s="1"/>
  <c r="I89" i="6"/>
  <c r="F107" i="23" l="1"/>
  <c r="G108" i="22"/>
  <c r="I108" i="22" s="1"/>
  <c r="H108" i="22"/>
  <c r="G107" i="21"/>
  <c r="I107" i="21" s="1"/>
  <c r="H107" i="21"/>
  <c r="J104" i="20"/>
  <c r="K104" i="20" s="1"/>
  <c r="F105" i="19"/>
  <c r="H105" i="19" s="1"/>
  <c r="F90" i="6"/>
  <c r="J89" i="6"/>
  <c r="K89" i="6" s="1"/>
  <c r="H90" i="6" l="1"/>
  <c r="G90" i="6"/>
  <c r="G107" i="23"/>
  <c r="I107" i="23" s="1"/>
  <c r="H107" i="23"/>
  <c r="J108" i="22"/>
  <c r="K108" i="22" s="1"/>
  <c r="J107" i="21"/>
  <c r="K107" i="21" s="1"/>
  <c r="F105" i="20"/>
  <c r="G105" i="19"/>
  <c r="I105" i="19" s="1"/>
  <c r="J107" i="23" l="1"/>
  <c r="K107" i="23" s="1"/>
  <c r="F109" i="22"/>
  <c r="H109" i="22" s="1"/>
  <c r="F108" i="21"/>
  <c r="G105" i="20"/>
  <c r="I105" i="20" s="1"/>
  <c r="H105" i="20"/>
  <c r="J105" i="19"/>
  <c r="K105" i="19" s="1"/>
  <c r="I90" i="6"/>
  <c r="F108" i="23" l="1"/>
  <c r="G109" i="22"/>
  <c r="I109" i="22" s="1"/>
  <c r="G108" i="21"/>
  <c r="I108" i="21" s="1"/>
  <c r="H108" i="21"/>
  <c r="J105" i="20"/>
  <c r="K105" i="20" s="1"/>
  <c r="F106" i="19"/>
  <c r="H106" i="19" s="1"/>
  <c r="F91" i="6"/>
  <c r="J90" i="6"/>
  <c r="K90" i="6" s="1"/>
  <c r="H91" i="6" l="1"/>
  <c r="G91" i="6"/>
  <c r="G108" i="23"/>
  <c r="I108" i="23" s="1"/>
  <c r="H108" i="23"/>
  <c r="J109" i="22"/>
  <c r="K109" i="22" s="1"/>
  <c r="J108" i="21"/>
  <c r="K108" i="21" s="1"/>
  <c r="F106" i="20"/>
  <c r="G106" i="19"/>
  <c r="I106" i="19" s="1"/>
  <c r="J108" i="23" l="1"/>
  <c r="K108" i="23" s="1"/>
  <c r="F110" i="22"/>
  <c r="H110" i="22" s="1"/>
  <c r="F109" i="21"/>
  <c r="H109" i="21" s="1"/>
  <c r="G106" i="20"/>
  <c r="I106" i="20" s="1"/>
  <c r="H106" i="20"/>
  <c r="J106" i="19"/>
  <c r="K106" i="19" s="1"/>
  <c r="I91" i="6"/>
  <c r="F109" i="23" l="1"/>
  <c r="H109" i="23" s="1"/>
  <c r="G110" i="22"/>
  <c r="I110" i="22" s="1"/>
  <c r="J110" i="22" s="1"/>
  <c r="K110" i="22" s="1"/>
  <c r="G109" i="21"/>
  <c r="I109" i="21" s="1"/>
  <c r="J106" i="20"/>
  <c r="K106" i="20" s="1"/>
  <c r="F107" i="19"/>
  <c r="F92" i="6"/>
  <c r="J91" i="6"/>
  <c r="K91" i="6" s="1"/>
  <c r="H92" i="6" l="1"/>
  <c r="G92" i="6"/>
  <c r="I92" i="6" s="1"/>
  <c r="G109" i="23"/>
  <c r="I109" i="23" s="1"/>
  <c r="J109" i="21"/>
  <c r="K109" i="21" s="1"/>
  <c r="F107" i="20"/>
  <c r="G107" i="19"/>
  <c r="I107" i="19" s="1"/>
  <c r="H107" i="19"/>
  <c r="W63" i="23" l="1"/>
  <c r="J109" i="23"/>
  <c r="K109" i="23" s="1"/>
  <c r="F110" i="21"/>
  <c r="H110" i="21" s="1"/>
  <c r="W63" i="21"/>
  <c r="G107" i="20"/>
  <c r="I107" i="20" s="1"/>
  <c r="H107" i="20"/>
  <c r="J107" i="19"/>
  <c r="K107" i="19" s="1"/>
  <c r="J92" i="6"/>
  <c r="K92" i="6" s="1"/>
  <c r="F110" i="23" l="1"/>
  <c r="H110" i="23" s="1"/>
  <c r="G110" i="21"/>
  <c r="I110" i="21" s="1"/>
  <c r="J110" i="21" s="1"/>
  <c r="K110" i="21" s="1"/>
  <c r="J107" i="20"/>
  <c r="K107" i="20" s="1"/>
  <c r="F108" i="19"/>
  <c r="F93" i="6"/>
  <c r="H93" i="6" l="1"/>
  <c r="G93" i="6"/>
  <c r="G110" i="23"/>
  <c r="I110" i="23" s="1"/>
  <c r="J110" i="23" s="1"/>
  <c r="K110" i="23" s="1"/>
  <c r="R3" i="23" s="1"/>
  <c r="F108" i="20"/>
  <c r="G108" i="19"/>
  <c r="I108" i="19" s="1"/>
  <c r="H108" i="19"/>
  <c r="G108" i="20" l="1"/>
  <c r="I108" i="20" s="1"/>
  <c r="H108" i="20"/>
  <c r="J108" i="19"/>
  <c r="K108" i="19" s="1"/>
  <c r="I93" i="6"/>
  <c r="J108" i="20" l="1"/>
  <c r="K108" i="20" s="1"/>
  <c r="F109" i="19"/>
  <c r="H109" i="19" s="1"/>
  <c r="F94" i="6"/>
  <c r="J93" i="6"/>
  <c r="K93" i="6" s="1"/>
  <c r="H94" i="6" l="1"/>
  <c r="G94" i="6"/>
  <c r="F109" i="20"/>
  <c r="G109" i="19"/>
  <c r="I109" i="19" s="1"/>
  <c r="G109" i="20" l="1"/>
  <c r="I109" i="20" s="1"/>
  <c r="H109" i="20"/>
  <c r="J109" i="19"/>
  <c r="K109" i="19" s="1"/>
  <c r="I94" i="6"/>
  <c r="J109" i="20" l="1"/>
  <c r="K109" i="20" s="1"/>
  <c r="F110" i="19"/>
  <c r="H110" i="19" s="1"/>
  <c r="W63" i="19"/>
  <c r="J94" i="6"/>
  <c r="K94" i="6" s="1"/>
  <c r="F110" i="20" l="1"/>
  <c r="W63" i="20"/>
  <c r="G110" i="19"/>
  <c r="I110" i="19" s="1"/>
  <c r="J110" i="19" s="1"/>
  <c r="K110" i="19" s="1"/>
  <c r="F95" i="6"/>
  <c r="H95" i="6" l="1"/>
  <c r="G95" i="6"/>
  <c r="I95" i="6" s="1"/>
  <c r="G110" i="20"/>
  <c r="I110" i="20" s="1"/>
  <c r="J110" i="20" s="1"/>
  <c r="K110" i="20" s="1"/>
  <c r="H110" i="20"/>
  <c r="J95" i="6" l="1"/>
  <c r="K95" i="6" s="1"/>
  <c r="F96" i="6"/>
  <c r="G96" i="6" l="1"/>
  <c r="I96" i="6" s="1"/>
  <c r="H96" i="6"/>
  <c r="F97" i="6" l="1"/>
  <c r="J96" i="6"/>
  <c r="K96" i="6" s="1"/>
  <c r="G97" i="6" l="1"/>
  <c r="I97" i="6" s="1"/>
  <c r="J97" i="6" s="1"/>
  <c r="K97" i="6" s="1"/>
  <c r="H97" i="6"/>
  <c r="F98" i="6" l="1"/>
  <c r="H98" i="6" l="1"/>
  <c r="G98" i="6"/>
  <c r="I98" i="6" s="1"/>
  <c r="J98" i="6" s="1"/>
  <c r="K98" i="6" s="1"/>
  <c r="F99" i="6" l="1"/>
  <c r="H99" i="6" l="1"/>
  <c r="G99" i="6"/>
  <c r="I99" i="6" s="1"/>
  <c r="J99" i="6" l="1"/>
  <c r="K99" i="6" s="1"/>
  <c r="F100" i="6" l="1"/>
  <c r="G100" i="6" s="1"/>
  <c r="I100" i="6" l="1"/>
  <c r="H100" i="6"/>
  <c r="J100" i="6" l="1"/>
  <c r="K100" i="6" s="1"/>
  <c r="F101" i="6" l="1"/>
  <c r="G101" i="6" l="1"/>
  <c r="I101" i="6" s="1"/>
  <c r="J101" i="6" s="1"/>
  <c r="K101" i="6" s="1"/>
  <c r="H101" i="6"/>
  <c r="F102" i="6" l="1"/>
  <c r="G102" i="6" s="1"/>
  <c r="I102" i="6" s="1"/>
  <c r="H102" i="6" l="1"/>
  <c r="J102" i="6"/>
  <c r="K102" i="6" s="1"/>
  <c r="F103" i="6" l="1"/>
  <c r="H103" i="6" l="1"/>
  <c r="G103" i="6"/>
  <c r="I103" i="6" s="1"/>
  <c r="J103" i="6" l="1"/>
  <c r="K103" i="6" s="1"/>
  <c r="F104" i="6" l="1"/>
  <c r="H104" i="6" l="1"/>
  <c r="G104" i="6"/>
  <c r="I104" i="6" s="1"/>
  <c r="J104" i="6" l="1"/>
  <c r="K104" i="6" s="1"/>
  <c r="F105" i="6" l="1"/>
  <c r="G105" i="6" l="1"/>
  <c r="I105" i="6" s="1"/>
  <c r="J105" i="6" s="1"/>
  <c r="K105" i="6" s="1"/>
  <c r="H105" i="6"/>
  <c r="F106" i="6" l="1"/>
  <c r="H106" i="6" l="1"/>
  <c r="G106" i="6"/>
  <c r="I106" i="6" s="1"/>
  <c r="J106" i="6" s="1"/>
  <c r="K106" i="6" s="1"/>
  <c r="F107" i="6" l="1"/>
  <c r="H107" i="6" l="1"/>
  <c r="G107" i="6"/>
  <c r="I107" i="6" s="1"/>
  <c r="J107" i="6" l="1"/>
  <c r="K107" i="6" s="1"/>
  <c r="F108" i="6" l="1"/>
  <c r="G108" i="6" l="1"/>
  <c r="I108" i="6" s="1"/>
  <c r="J108" i="6" s="1"/>
  <c r="K108" i="6" s="1"/>
  <c r="H108" i="6"/>
  <c r="F109" i="6" l="1"/>
  <c r="H109" i="6" s="1"/>
  <c r="G109" i="6" l="1"/>
  <c r="I109" i="6" s="1"/>
  <c r="J109" i="6" s="1"/>
  <c r="K109" i="6" s="1"/>
  <c r="F110" i="6" l="1"/>
  <c r="G110" i="6" l="1"/>
  <c r="I110" i="6" s="1"/>
  <c r="J110" i="6" s="1"/>
  <c r="K110" i="6" s="1"/>
  <c r="H110" i="6"/>
</calcChain>
</file>

<file path=xl/sharedStrings.xml><?xml version="1.0" encoding="utf-8"?>
<sst xmlns="http://schemas.openxmlformats.org/spreadsheetml/2006/main" count="162" uniqueCount="38">
  <si>
    <t>Y</t>
  </si>
  <si>
    <t xml:space="preserve">level </t>
  </si>
  <si>
    <t xml:space="preserve">season </t>
  </si>
  <si>
    <t>forcast</t>
  </si>
  <si>
    <t>trend</t>
  </si>
  <si>
    <t>error</t>
  </si>
  <si>
    <t>abs error</t>
  </si>
  <si>
    <t>period</t>
  </si>
  <si>
    <t>alpha</t>
  </si>
  <si>
    <t>bet</t>
  </si>
  <si>
    <t>gamma</t>
  </si>
  <si>
    <t>error2</t>
  </si>
  <si>
    <t>average of new years</t>
  </si>
  <si>
    <t>ancienne /nouvelle</t>
  </si>
  <si>
    <t>average last years</t>
  </si>
  <si>
    <t>average regression</t>
  </si>
  <si>
    <t>y</t>
  </si>
  <si>
    <t>coefii dir</t>
  </si>
  <si>
    <t>origine</t>
  </si>
  <si>
    <t>erro</t>
  </si>
  <si>
    <t>sum</t>
  </si>
  <si>
    <t>round3</t>
  </si>
  <si>
    <t>round4</t>
  </si>
  <si>
    <t>round 5</t>
  </si>
  <si>
    <t xml:space="preserve">round 6 </t>
  </si>
  <si>
    <t>nouvelle /ancienne</t>
  </si>
  <si>
    <t>new/old</t>
  </si>
  <si>
    <t>produit</t>
  </si>
  <si>
    <t>moyenne du round passé</t>
  </si>
  <si>
    <t>moyenne prévu du round suivant</t>
  </si>
  <si>
    <t xml:space="preserve"> fressie orange one liter</t>
  </si>
  <si>
    <t xml:space="preserve">rapport </t>
  </si>
  <si>
    <t>pourcentage</t>
  </si>
  <si>
    <t>fressie orange/mango</t>
  </si>
  <si>
    <t>Fressie orange Pet</t>
  </si>
  <si>
    <t>Fressie orange /mango PET</t>
  </si>
  <si>
    <t>Fressie orangeCpower PET</t>
  </si>
  <si>
    <t>Fressie orange C-power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</si>
</sst>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€_-;\-* #,##0.00\ _€_-;_-* &quot;-&quot;??\ _€_-;_-@_-"/>
    <numFmt numFmtId="164" formatCode="0.0000"/>
    <numFmt numFmtId="165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rgb="FFFFC000"/>
      <name val="Calibri"/>
      <family val="2"/>
      <scheme val="minor"/>
    </font>
    <font>
      <b/>
      <sz val="26"/>
      <color theme="9" tint="-0.249977111117893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/>
    <xf numFmtId="0" fontId="0" fillId="0" borderId="1" xfId="0" applyBorder="1"/>
    <xf numFmtId="0" fontId="0" fillId="3" borderId="0" xfId="0" applyFill="1"/>
    <xf numFmtId="0" fontId="0" fillId="6" borderId="0" xfId="0" applyNumberFormat="1" applyFill="1" applyAlignment="1">
      <alignment vertical="center"/>
    </xf>
    <xf numFmtId="0" fontId="0" fillId="6" borderId="0" xfId="1" applyNumberFormat="1" applyFont="1" applyFill="1"/>
    <xf numFmtId="0" fontId="0" fillId="4" borderId="0" xfId="0" applyFill="1"/>
    <xf numFmtId="0" fontId="0" fillId="5" borderId="0" xfId="0" applyFill="1"/>
    <xf numFmtId="0" fontId="2" fillId="7" borderId="0" xfId="0" applyFont="1" applyFill="1"/>
    <xf numFmtId="0" fontId="0" fillId="8" borderId="0" xfId="0" applyFill="1"/>
    <xf numFmtId="164" fontId="0" fillId="5" borderId="0" xfId="0" applyNumberFormat="1" applyFill="1"/>
    <xf numFmtId="164" fontId="0" fillId="4" borderId="0" xfId="0" applyNumberFormat="1" applyFill="1"/>
    <xf numFmtId="0" fontId="0" fillId="2" borderId="0" xfId="1" applyNumberFormat="1" applyFont="1" applyFill="1"/>
    <xf numFmtId="0" fontId="0" fillId="9" borderId="0" xfId="0" applyFill="1"/>
    <xf numFmtId="0" fontId="0" fillId="10" borderId="0" xfId="0" applyFill="1"/>
    <xf numFmtId="0" fontId="0" fillId="0" borderId="0" xfId="0" applyFill="1"/>
    <xf numFmtId="0" fontId="0" fillId="11" borderId="0" xfId="0" applyFill="1"/>
    <xf numFmtId="0" fontId="0" fillId="0" borderId="0" xfId="0" applyAlignment="1">
      <alignment horizontal="center"/>
    </xf>
    <xf numFmtId="0" fontId="0" fillId="12" borderId="2" xfId="0" applyNumberFormat="1" applyFont="1" applyFill="1" applyBorder="1"/>
    <xf numFmtId="0" fontId="0" fillId="0" borderId="2" xfId="0" applyNumberFormat="1" applyFont="1" applyBorder="1"/>
    <xf numFmtId="0" fontId="0" fillId="0" borderId="0" xfId="0" applyAlignment="1">
      <alignment horizontal="center" wrapText="1"/>
    </xf>
    <xf numFmtId="0" fontId="0" fillId="0" borderId="2" xfId="0" applyNumberFormat="1" applyFont="1" applyFill="1" applyBorder="1"/>
    <xf numFmtId="165" fontId="0" fillId="0" borderId="0" xfId="0" applyNumberFormat="1"/>
    <xf numFmtId="0" fontId="7" fillId="13" borderId="0" xfId="0" applyFont="1" applyFill="1"/>
    <xf numFmtId="0" fontId="0" fillId="13" borderId="0" xfId="0" applyFill="1"/>
    <xf numFmtId="0" fontId="0" fillId="14" borderId="0" xfId="0" applyFill="1"/>
    <xf numFmtId="0" fontId="0" fillId="0" borderId="0" xfId="0" applyNumberFormat="1"/>
    <xf numFmtId="0" fontId="3" fillId="0" borderId="0" xfId="0" applyFont="1" applyAlignment="1">
      <alignment vertical="center" textRotation="255"/>
    </xf>
    <xf numFmtId="0" fontId="4" fillId="0" borderId="0" xfId="0" applyFont="1" applyAlignment="1">
      <alignment horizontal="center" textRotation="255"/>
    </xf>
    <xf numFmtId="0" fontId="6" fillId="0" borderId="0" xfId="0" applyFont="1" applyAlignment="1">
      <alignment horizontal="center" textRotation="255"/>
    </xf>
    <xf numFmtId="0" fontId="5" fillId="0" borderId="0" xfId="0" applyFont="1" applyAlignment="1">
      <alignment horizontal="center" textRotation="255"/>
    </xf>
  </cellXfs>
  <cellStyles count="2">
    <cellStyle name="Comma 2" xfId="1"/>
    <cellStyle name="Normal" xfId="0" builtinId="0"/>
  </cellStyles>
  <dxfs count="0"/>
  <tableStyles count="0" defaultTableStyle="TableStyleMedium2" defaultPivotStyle="PivotStyleLight16"/>
  <colors>
    <mruColors>
      <color rgb="FFFF00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orange 1liter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0334348479565298E-2"/>
          <c:y val="9.3189145158120296E-2"/>
          <c:w val="0.90832787948554627"/>
          <c:h val="0.82657635024721909"/>
        </c:manualLayout>
      </c:layout>
      <c:scatterChart>
        <c:scatterStyle val="lineMarker"/>
        <c:varyColors val="0"/>
        <c:ser>
          <c:idx val="0"/>
          <c:order val="0"/>
          <c:tx>
            <c:strRef>
              <c:f>'orange 1liter'!$E$6</c:f>
              <c:strCache>
                <c:ptCount val="1"/>
                <c:pt idx="0">
                  <c:v>Y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strRef>
              <c:f>'orange 1liter'!$D$6:$D$110</c:f>
              <c:strCache>
                <c:ptCount val="105"/>
                <c:pt idx="0">
                  <c:v>period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</c:strCache>
            </c:strRef>
          </c:xVal>
          <c:yVal>
            <c:numRef>
              <c:f>'orange 1liter'!$E$7:$E$110</c:f>
              <c:numCache>
                <c:formatCode>General</c:formatCode>
                <c:ptCount val="104"/>
                <c:pt idx="0">
                  <c:v>64.139939999999996</c:v>
                </c:pt>
                <c:pt idx="1">
                  <c:v>26.822157000000001</c:v>
                </c:pt>
                <c:pt idx="2">
                  <c:v>61.807580000000002</c:v>
                </c:pt>
                <c:pt idx="3">
                  <c:v>13.994168999999999</c:v>
                </c:pt>
                <c:pt idx="4">
                  <c:v>103.790085</c:v>
                </c:pt>
                <c:pt idx="5">
                  <c:v>63.556849999999997</c:v>
                </c:pt>
                <c:pt idx="6">
                  <c:v>43.731777000000001</c:v>
                </c:pt>
                <c:pt idx="7">
                  <c:v>43.148690000000002</c:v>
                </c:pt>
                <c:pt idx="8">
                  <c:v>60.641399999999997</c:v>
                </c:pt>
                <c:pt idx="9">
                  <c:v>149.27113</c:v>
                </c:pt>
                <c:pt idx="10">
                  <c:v>85.984790000000004</c:v>
                </c:pt>
                <c:pt idx="11">
                  <c:v>33.022060000000003</c:v>
                </c:pt>
                <c:pt idx="12">
                  <c:v>104.47395</c:v>
                </c:pt>
                <c:pt idx="13">
                  <c:v>35.811565000000002</c:v>
                </c:pt>
                <c:pt idx="14">
                  <c:v>52.612296999999998</c:v>
                </c:pt>
                <c:pt idx="15">
                  <c:v>68.254220000000004</c:v>
                </c:pt>
                <c:pt idx="16">
                  <c:v>80.403790000000001</c:v>
                </c:pt>
                <c:pt idx="17">
                  <c:v>73.369309999999999</c:v>
                </c:pt>
                <c:pt idx="18">
                  <c:v>69.825180000000003</c:v>
                </c:pt>
                <c:pt idx="19">
                  <c:v>33.137543000000001</c:v>
                </c:pt>
                <c:pt idx="20">
                  <c:v>137.60933</c:v>
                </c:pt>
                <c:pt idx="21">
                  <c:v>26.239066999999999</c:v>
                </c:pt>
                <c:pt idx="22">
                  <c:v>43.731777000000001</c:v>
                </c:pt>
                <c:pt idx="23">
                  <c:v>52.478133999999997</c:v>
                </c:pt>
                <c:pt idx="24">
                  <c:v>37.317782999999999</c:v>
                </c:pt>
                <c:pt idx="25">
                  <c:v>64.723029999999994</c:v>
                </c:pt>
                <c:pt idx="26">
                  <c:v>22</c:v>
                </c:pt>
                <c:pt idx="27">
                  <c:v>49</c:v>
                </c:pt>
                <c:pt idx="28">
                  <c:v>49</c:v>
                </c:pt>
                <c:pt idx="29">
                  <c:v>28</c:v>
                </c:pt>
                <c:pt idx="30">
                  <c:v>125</c:v>
                </c:pt>
                <c:pt idx="31">
                  <c:v>63</c:v>
                </c:pt>
                <c:pt idx="32">
                  <c:v>81</c:v>
                </c:pt>
                <c:pt idx="33">
                  <c:v>63</c:v>
                </c:pt>
                <c:pt idx="34">
                  <c:v>126</c:v>
                </c:pt>
                <c:pt idx="35">
                  <c:v>107</c:v>
                </c:pt>
                <c:pt idx="36">
                  <c:v>49</c:v>
                </c:pt>
                <c:pt idx="37">
                  <c:v>27</c:v>
                </c:pt>
                <c:pt idx="38">
                  <c:v>42</c:v>
                </c:pt>
                <c:pt idx="39">
                  <c:v>80</c:v>
                </c:pt>
                <c:pt idx="40">
                  <c:v>36</c:v>
                </c:pt>
                <c:pt idx="41">
                  <c:v>145</c:v>
                </c:pt>
                <c:pt idx="42">
                  <c:v>49</c:v>
                </c:pt>
                <c:pt idx="43">
                  <c:v>53</c:v>
                </c:pt>
                <c:pt idx="44">
                  <c:v>192</c:v>
                </c:pt>
                <c:pt idx="45">
                  <c:v>56</c:v>
                </c:pt>
                <c:pt idx="46">
                  <c:v>62</c:v>
                </c:pt>
                <c:pt idx="47">
                  <c:v>74</c:v>
                </c:pt>
                <c:pt idx="48">
                  <c:v>87</c:v>
                </c:pt>
                <c:pt idx="49">
                  <c:v>76</c:v>
                </c:pt>
                <c:pt idx="50">
                  <c:v>111</c:v>
                </c:pt>
                <c:pt idx="51">
                  <c:v>122</c:v>
                </c:pt>
                <c:pt idx="52">
                  <c:v>45</c:v>
                </c:pt>
                <c:pt idx="53">
                  <c:v>51</c:v>
                </c:pt>
                <c:pt idx="54">
                  <c:v>98</c:v>
                </c:pt>
                <c:pt idx="55">
                  <c:v>56</c:v>
                </c:pt>
                <c:pt idx="56">
                  <c:v>40</c:v>
                </c:pt>
                <c:pt idx="57">
                  <c:v>71</c:v>
                </c:pt>
                <c:pt idx="58">
                  <c:v>96</c:v>
                </c:pt>
                <c:pt idx="59">
                  <c:v>64</c:v>
                </c:pt>
                <c:pt idx="60">
                  <c:v>41</c:v>
                </c:pt>
                <c:pt idx="61">
                  <c:v>38</c:v>
                </c:pt>
                <c:pt idx="62">
                  <c:v>109</c:v>
                </c:pt>
                <c:pt idx="63">
                  <c:v>99</c:v>
                </c:pt>
                <c:pt idx="64">
                  <c:v>6</c:v>
                </c:pt>
                <c:pt idx="65">
                  <c:v>43</c:v>
                </c:pt>
                <c:pt idx="66">
                  <c:v>10</c:v>
                </c:pt>
                <c:pt idx="67">
                  <c:v>44</c:v>
                </c:pt>
                <c:pt idx="68">
                  <c:v>60</c:v>
                </c:pt>
                <c:pt idx="69">
                  <c:v>37</c:v>
                </c:pt>
                <c:pt idx="70">
                  <c:v>174</c:v>
                </c:pt>
                <c:pt idx="71">
                  <c:v>49</c:v>
                </c:pt>
                <c:pt idx="72">
                  <c:v>83</c:v>
                </c:pt>
                <c:pt idx="73">
                  <c:v>64</c:v>
                </c:pt>
                <c:pt idx="74">
                  <c:v>85</c:v>
                </c:pt>
                <c:pt idx="75">
                  <c:v>52</c:v>
                </c:pt>
                <c:pt idx="76">
                  <c:v>59</c:v>
                </c:pt>
                <c:pt idx="77">
                  <c:v>112</c:v>
                </c:pt>
                <c:pt idx="78">
                  <c:v>45</c:v>
                </c:pt>
                <c:pt idx="79">
                  <c:v>51</c:v>
                </c:pt>
                <c:pt idx="80">
                  <c:v>98</c:v>
                </c:pt>
                <c:pt idx="81">
                  <c:v>56</c:v>
                </c:pt>
                <c:pt idx="82">
                  <c:v>40</c:v>
                </c:pt>
                <c:pt idx="83">
                  <c:v>71</c:v>
                </c:pt>
                <c:pt idx="84">
                  <c:v>96</c:v>
                </c:pt>
                <c:pt idx="85">
                  <c:v>64</c:v>
                </c:pt>
                <c:pt idx="86">
                  <c:v>41</c:v>
                </c:pt>
                <c:pt idx="87">
                  <c:v>38</c:v>
                </c:pt>
                <c:pt idx="88">
                  <c:v>109</c:v>
                </c:pt>
                <c:pt idx="89">
                  <c:v>99</c:v>
                </c:pt>
                <c:pt idx="90">
                  <c:v>6</c:v>
                </c:pt>
                <c:pt idx="91">
                  <c:v>43</c:v>
                </c:pt>
                <c:pt idx="92">
                  <c:v>10</c:v>
                </c:pt>
                <c:pt idx="93">
                  <c:v>44</c:v>
                </c:pt>
                <c:pt idx="94">
                  <c:v>60</c:v>
                </c:pt>
                <c:pt idx="95">
                  <c:v>37</c:v>
                </c:pt>
                <c:pt idx="96">
                  <c:v>174</c:v>
                </c:pt>
                <c:pt idx="97">
                  <c:v>49</c:v>
                </c:pt>
                <c:pt idx="98">
                  <c:v>83</c:v>
                </c:pt>
                <c:pt idx="99">
                  <c:v>64</c:v>
                </c:pt>
                <c:pt idx="100">
                  <c:v>85</c:v>
                </c:pt>
                <c:pt idx="101">
                  <c:v>52</c:v>
                </c:pt>
                <c:pt idx="102">
                  <c:v>59</c:v>
                </c:pt>
                <c:pt idx="103">
                  <c:v>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A3-4B3B-AC3E-8D46A3FAB12F}"/>
            </c:ext>
          </c:extLst>
        </c:ser>
        <c:ser>
          <c:idx val="1"/>
          <c:order val="1"/>
          <c:tx>
            <c:strRef>
              <c:f>'orange 1liter'!$I$6</c:f>
              <c:strCache>
                <c:ptCount val="1"/>
                <c:pt idx="0">
                  <c:v>forcast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'orange 1liter'!$D$7:$D$110</c:f>
              <c:numCache>
                <c:formatCode>General</c:formatCode>
                <c:ptCount val="1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</c:numCache>
            </c:numRef>
          </c:xVal>
          <c:yVal>
            <c:numRef>
              <c:f>'orange 1liter'!$I$7:$I$110</c:f>
              <c:numCache>
                <c:formatCode>General</c:formatCode>
                <c:ptCount val="104"/>
                <c:pt idx="15">
                  <c:v>68.674321001615013</c:v>
                </c:pt>
                <c:pt idx="16">
                  <c:v>81.202824667893935</c:v>
                </c:pt>
                <c:pt idx="17">
                  <c:v>74.108267266150392</c:v>
                </c:pt>
                <c:pt idx="18">
                  <c:v>70.569985939179546</c:v>
                </c:pt>
                <c:pt idx="19">
                  <c:v>33.655282907735327</c:v>
                </c:pt>
                <c:pt idx="20">
                  <c:v>138.68159577381479</c:v>
                </c:pt>
                <c:pt idx="21">
                  <c:v>26.323619667006028</c:v>
                </c:pt>
                <c:pt idx="22">
                  <c:v>43.881493297561924</c:v>
                </c:pt>
                <c:pt idx="23">
                  <c:v>52.632123567377484</c:v>
                </c:pt>
                <c:pt idx="24">
                  <c:v>36.549058737232812</c:v>
                </c:pt>
                <c:pt idx="25">
                  <c:v>64.6876203430853</c:v>
                </c:pt>
                <c:pt idx="26">
                  <c:v>21.988236901180233</c:v>
                </c:pt>
                <c:pt idx="27">
                  <c:v>48.698462235509695</c:v>
                </c:pt>
                <c:pt idx="28">
                  <c:v>49.266754355987338</c:v>
                </c:pt>
                <c:pt idx="29">
                  <c:v>27.963959172595626</c:v>
                </c:pt>
                <c:pt idx="30">
                  <c:v>125.92438764134283</c:v>
                </c:pt>
                <c:pt idx="31">
                  <c:v>63.590631743437328</c:v>
                </c:pt>
                <c:pt idx="32">
                  <c:v>81.631814579887632</c:v>
                </c:pt>
                <c:pt idx="33">
                  <c:v>63.641927139977078</c:v>
                </c:pt>
                <c:pt idx="34">
                  <c:v>127.34334931862914</c:v>
                </c:pt>
                <c:pt idx="35">
                  <c:v>107.71899045351199</c:v>
                </c:pt>
                <c:pt idx="36">
                  <c:v>49.236587326841999</c:v>
                </c:pt>
                <c:pt idx="37">
                  <c:v>26.921954322117397</c:v>
                </c:pt>
                <c:pt idx="38">
                  <c:v>41.875173361131637</c:v>
                </c:pt>
                <c:pt idx="39">
                  <c:v>79.447076975213847</c:v>
                </c:pt>
                <c:pt idx="40">
                  <c:v>35.531414795761052</c:v>
                </c:pt>
                <c:pt idx="41">
                  <c:v>146.37827466498462</c:v>
                </c:pt>
                <c:pt idx="42">
                  <c:v>49.309595462468529</c:v>
                </c:pt>
                <c:pt idx="43">
                  <c:v>53.233351354865704</c:v>
                </c:pt>
                <c:pt idx="44">
                  <c:v>193.81446783510108</c:v>
                </c:pt>
                <c:pt idx="45">
                  <c:v>56.357801811573232</c:v>
                </c:pt>
                <c:pt idx="46">
                  <c:v>62.446107958565868</c:v>
                </c:pt>
                <c:pt idx="47">
                  <c:v>74.386749533572015</c:v>
                </c:pt>
                <c:pt idx="48">
                  <c:v>87.889470959593808</c:v>
                </c:pt>
                <c:pt idx="49">
                  <c:v>76.841164900024182</c:v>
                </c:pt>
                <c:pt idx="50">
                  <c:v>111.52898731830103</c:v>
                </c:pt>
                <c:pt idx="51">
                  <c:v>122.99863810341527</c:v>
                </c:pt>
                <c:pt idx="52">
                  <c:v>45.169504676855681</c:v>
                </c:pt>
                <c:pt idx="53">
                  <c:v>50.858180732789762</c:v>
                </c:pt>
                <c:pt idx="54">
                  <c:v>97.271926588375777</c:v>
                </c:pt>
                <c:pt idx="55">
                  <c:v>55.540215502194037</c:v>
                </c:pt>
                <c:pt idx="56">
                  <c:v>40.045301881025431</c:v>
                </c:pt>
                <c:pt idx="57">
                  <c:v>70.630154967613592</c:v>
                </c:pt>
                <c:pt idx="58">
                  <c:v>96.680314151810634</c:v>
                </c:pt>
                <c:pt idx="59">
                  <c:v>64.294551716959461</c:v>
                </c:pt>
                <c:pt idx="60">
                  <c:v>40.714927831985676</c:v>
                </c:pt>
                <c:pt idx="61">
                  <c:v>38.094826260147293</c:v>
                </c:pt>
                <c:pt idx="62">
                  <c:v>109.58094486621492</c:v>
                </c:pt>
                <c:pt idx="63">
                  <c:v>100.02477121233527</c:v>
                </c:pt>
                <c:pt idx="64">
                  <c:v>5.9999985614928404</c:v>
                </c:pt>
                <c:pt idx="65">
                  <c:v>42.508107927162037</c:v>
                </c:pt>
                <c:pt idx="66">
                  <c:v>9.495305376395228</c:v>
                </c:pt>
                <c:pt idx="67">
                  <c:v>43.874103719177775</c:v>
                </c:pt>
                <c:pt idx="68">
                  <c:v>59.903815507358843</c:v>
                </c:pt>
                <c:pt idx="69">
                  <c:v>35.448037734890868</c:v>
                </c:pt>
                <c:pt idx="70">
                  <c:v>174.79309030549058</c:v>
                </c:pt>
                <c:pt idx="71">
                  <c:v>49.213323599923918</c:v>
                </c:pt>
                <c:pt idx="72">
                  <c:v>82.714867371362985</c:v>
                </c:pt>
                <c:pt idx="73">
                  <c:v>64.264517517902433</c:v>
                </c:pt>
                <c:pt idx="74">
                  <c:v>85.391424520704646</c:v>
                </c:pt>
                <c:pt idx="75">
                  <c:v>51.835698700037128</c:v>
                </c:pt>
                <c:pt idx="76">
                  <c:v>59.32581404298152</c:v>
                </c:pt>
                <c:pt idx="77">
                  <c:v>112.64572699293844</c:v>
                </c:pt>
                <c:pt idx="78">
                  <c:v>45.365185165046611</c:v>
                </c:pt>
                <c:pt idx="79">
                  <c:v>50.851554465986439</c:v>
                </c:pt>
                <c:pt idx="80">
                  <c:v>98.207451784907164</c:v>
                </c:pt>
                <c:pt idx="81">
                  <c:v>56.096987677564627</c:v>
                </c:pt>
                <c:pt idx="82">
                  <c:v>39.886395848293482</c:v>
                </c:pt>
                <c:pt idx="83">
                  <c:v>70.969533317282355</c:v>
                </c:pt>
                <c:pt idx="84">
                  <c:v>95.089386551620805</c:v>
                </c:pt>
                <c:pt idx="85">
                  <c:v>63.471654409399754</c:v>
                </c:pt>
                <c:pt idx="86">
                  <c:v>41.002529979985127</c:v>
                </c:pt>
                <c:pt idx="87">
                  <c:v>37.060515683980661</c:v>
                </c:pt>
                <c:pt idx="88">
                  <c:v>109.74606236853373</c:v>
                </c:pt>
                <c:pt idx="89">
                  <c:v>99.659943611980339</c:v>
                </c:pt>
                <c:pt idx="90">
                  <c:v>5.273856048276266</c:v>
                </c:pt>
                <c:pt idx="91">
                  <c:v>43.07382805030084</c:v>
                </c:pt>
                <c:pt idx="92">
                  <c:v>9.3163224897188535</c:v>
                </c:pt>
                <c:pt idx="93">
                  <c:v>44.298917898663007</c:v>
                </c:pt>
                <c:pt idx="94">
                  <c:v>59.936974564654058</c:v>
                </c:pt>
                <c:pt idx="95">
                  <c:v>36.482311115960393</c:v>
                </c:pt>
                <c:pt idx="96">
                  <c:v>175.41265179603516</c:v>
                </c:pt>
                <c:pt idx="97">
                  <c:v>49.226219275611889</c:v>
                </c:pt>
                <c:pt idx="98">
                  <c:v>83.104764957108785</c:v>
                </c:pt>
                <c:pt idx="99">
                  <c:v>62.682999750504514</c:v>
                </c:pt>
                <c:pt idx="100">
                  <c:v>84.631403423823031</c:v>
                </c:pt>
                <c:pt idx="101">
                  <c:v>52.13048402570422</c:v>
                </c:pt>
                <c:pt idx="102">
                  <c:v>58.323221065787649</c:v>
                </c:pt>
                <c:pt idx="103">
                  <c:v>112.77190533487803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19A3-4B3B-AC3E-8D46A3FAB12F}"/>
            </c:ext>
          </c:extLst>
        </c:ser>
        <c:ser>
          <c:idx val="2"/>
          <c:order val="2"/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strRef>
              <c:f>'orange 1liter'!$D$6:$D$70</c:f>
              <c:strCache>
                <c:ptCount val="65"/>
                <c:pt idx="0">
                  <c:v>period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</c:strCache>
            </c:strRef>
          </c:xVal>
          <c:yVal>
            <c:numRef>
              <c:f>'orange 1liter'!$M$7:$M$70</c:f>
              <c:numCache>
                <c:formatCode>General</c:formatCode>
                <c:ptCount val="64"/>
                <c:pt idx="0">
                  <c:v>62.853895999999992</c:v>
                </c:pt>
                <c:pt idx="1">
                  <c:v>63.12818133333333</c:v>
                </c:pt>
                <c:pt idx="2">
                  <c:v>66.700290199999998</c:v>
                </c:pt>
                <c:pt idx="3">
                  <c:v>67.471072199999995</c:v>
                </c:pt>
                <c:pt idx="4">
                  <c:v>71.193139599999995</c:v>
                </c:pt>
                <c:pt idx="5">
                  <c:v>66.482970133333339</c:v>
                </c:pt>
                <c:pt idx="6">
                  <c:v>71.419802133333349</c:v>
                </c:pt>
                <c:pt idx="7">
                  <c:v>70.253621466666672</c:v>
                </c:pt>
                <c:pt idx="8">
                  <c:v>70.292493933333347</c:v>
                </c:pt>
                <c:pt idx="9">
                  <c:v>69.748276200000006</c:v>
                </c:pt>
                <c:pt idx="10">
                  <c:v>62.284719733333333</c:v>
                </c:pt>
                <c:pt idx="11">
                  <c:v>60.867269066666658</c:v>
                </c:pt>
                <c:pt idx="12">
                  <c:v>60.132465066666654</c:v>
                </c:pt>
                <c:pt idx="13">
                  <c:v>56.434201733333325</c:v>
                </c:pt>
                <c:pt idx="14">
                  <c:v>57.31343073333332</c:v>
                </c:pt>
                <c:pt idx="15">
                  <c:v>55.672610933333324</c:v>
                </c:pt>
                <c:pt idx="16">
                  <c:v>59.455662933333329</c:v>
                </c:pt>
                <c:pt idx="17">
                  <c:v>58.295410266666671</c:v>
                </c:pt>
                <c:pt idx="18">
                  <c:v>58.804122933333339</c:v>
                </c:pt>
                <c:pt idx="19">
                  <c:v>58.349110933333336</c:v>
                </c:pt>
                <c:pt idx="20">
                  <c:v>64.539941400000004</c:v>
                </c:pt>
                <c:pt idx="21">
                  <c:v>62.499319399999997</c:v>
                </c:pt>
                <c:pt idx="22">
                  <c:v>64.016714933333333</c:v>
                </c:pt>
                <c:pt idx="23">
                  <c:v>62.901263133333337</c:v>
                </c:pt>
                <c:pt idx="24">
                  <c:v>62.202720866666667</c:v>
                </c:pt>
                <c:pt idx="25">
                  <c:v>65.048202000000003</c:v>
                </c:pt>
                <c:pt idx="26">
                  <c:v>63.133333333333333</c:v>
                </c:pt>
                <c:pt idx="27">
                  <c:v>71.333333333333329</c:v>
                </c:pt>
                <c:pt idx="28">
                  <c:v>71.333333333333329</c:v>
                </c:pt>
                <c:pt idx="29">
                  <c:v>71.599999999999994</c:v>
                </c:pt>
                <c:pt idx="30">
                  <c:v>82.533333333333331</c:v>
                </c:pt>
                <c:pt idx="31">
                  <c:v>77.933333333333337</c:v>
                </c:pt>
                <c:pt idx="32">
                  <c:v>77.86666666666666</c:v>
                </c:pt>
                <c:pt idx="33">
                  <c:v>77.400000000000006</c:v>
                </c:pt>
                <c:pt idx="34">
                  <c:v>79</c:v>
                </c:pt>
                <c:pt idx="35">
                  <c:v>75.666666666666671</c:v>
                </c:pt>
                <c:pt idx="36">
                  <c:v>75.933333333333337</c:v>
                </c:pt>
                <c:pt idx="37">
                  <c:v>80.8</c:v>
                </c:pt>
                <c:pt idx="38">
                  <c:v>82</c:v>
                </c:pt>
                <c:pt idx="39">
                  <c:v>82.6</c:v>
                </c:pt>
                <c:pt idx="40">
                  <c:v>83.8</c:v>
                </c:pt>
                <c:pt idx="41">
                  <c:v>85.13333333333334</c:v>
                </c:pt>
                <c:pt idx="42">
                  <c:v>78.13333333333334</c:v>
                </c:pt>
                <c:pt idx="43">
                  <c:v>79.599999999999994</c:v>
                </c:pt>
                <c:pt idx="44">
                  <c:v>82.466666666666669</c:v>
                </c:pt>
                <c:pt idx="45">
                  <c:v>73.933333333333337</c:v>
                </c:pt>
                <c:pt idx="46">
                  <c:v>72.933333333333337</c:v>
                </c:pt>
                <c:pt idx="47">
                  <c:v>71.333333333333329</c:v>
                </c:pt>
                <c:pt idx="48">
                  <c:v>73.666666666666671</c:v>
                </c:pt>
                <c:pt idx="49">
                  <c:v>74.466666666666669</c:v>
                </c:pt>
                <c:pt idx="50">
                  <c:v>69.8</c:v>
                </c:pt>
                <c:pt idx="51">
                  <c:v>65.266666666666666</c:v>
                </c:pt>
                <c:pt idx="52">
                  <c:v>57.8</c:v>
                </c:pt>
                <c:pt idx="53">
                  <c:v>57.733333333333334</c:v>
                </c:pt>
                <c:pt idx="54">
                  <c:v>58.333333333333336</c:v>
                </c:pt>
                <c:pt idx="55">
                  <c:v>54.266666666666666</c:v>
                </c:pt>
                <c:pt idx="56">
                  <c:v>62.133333333333333</c:v>
                </c:pt>
                <c:pt idx="57">
                  <c:v>62.733333333333334</c:v>
                </c:pt>
                <c:pt idx="58">
                  <c:v>63.533333333333331</c:v>
                </c:pt>
                <c:pt idx="59">
                  <c:v>61.4</c:v>
                </c:pt>
                <c:pt idx="60">
                  <c:v>62.8</c:v>
                </c:pt>
                <c:pt idx="61">
                  <c:v>63.533333333333331</c:v>
                </c:pt>
                <c:pt idx="62">
                  <c:v>64.933333333333337</c:v>
                </c:pt>
                <c:pt idx="63">
                  <c:v>65.13333333333334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9A3-4B3B-AC3E-8D46A3FAB12F}"/>
            </c:ext>
          </c:extLst>
        </c:ser>
        <c:ser>
          <c:idx val="3"/>
          <c:order val="3"/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'orange 1liter'!$D$7:$D$70</c:f>
              <c:numCache>
                <c:formatCode>General</c:formatCode>
                <c:ptCount val="6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</c:numCache>
            </c:numRef>
          </c:xVal>
          <c:yVal>
            <c:numRef>
              <c:f>'orange 1liter'!$O$7:$O$70</c:f>
              <c:numCache>
                <c:formatCode>General</c:formatCode>
                <c:ptCount val="64"/>
                <c:pt idx="0">
                  <c:v>58.948529067739955</c:v>
                </c:pt>
                <c:pt idx="1">
                  <c:v>59.265588208987488</c:v>
                </c:pt>
                <c:pt idx="2">
                  <c:v>59.582647350235021</c:v>
                </c:pt>
                <c:pt idx="3">
                  <c:v>59.899706491482554</c:v>
                </c:pt>
                <c:pt idx="4">
                  <c:v>60.216765632730088</c:v>
                </c:pt>
                <c:pt idx="5">
                  <c:v>60.533824773977621</c:v>
                </c:pt>
                <c:pt idx="6">
                  <c:v>60.850883915225154</c:v>
                </c:pt>
                <c:pt idx="7">
                  <c:v>61.16794305647268</c:v>
                </c:pt>
                <c:pt idx="8">
                  <c:v>61.485002197720213</c:v>
                </c:pt>
                <c:pt idx="9">
                  <c:v>61.802061338967746</c:v>
                </c:pt>
                <c:pt idx="10">
                  <c:v>62.11912048021528</c:v>
                </c:pt>
                <c:pt idx="11">
                  <c:v>62.436179621462813</c:v>
                </c:pt>
                <c:pt idx="12">
                  <c:v>62.753238762710346</c:v>
                </c:pt>
                <c:pt idx="13">
                  <c:v>63.070297903957879</c:v>
                </c:pt>
                <c:pt idx="14">
                  <c:v>63.387357045205412</c:v>
                </c:pt>
                <c:pt idx="15">
                  <c:v>63.704416186452946</c:v>
                </c:pt>
                <c:pt idx="16">
                  <c:v>64.021475327700472</c:v>
                </c:pt>
                <c:pt idx="17">
                  <c:v>64.338534468948012</c:v>
                </c:pt>
                <c:pt idx="18">
                  <c:v>64.655593610195538</c:v>
                </c:pt>
                <c:pt idx="19">
                  <c:v>64.972652751443079</c:v>
                </c:pt>
                <c:pt idx="20">
                  <c:v>65.289711892690605</c:v>
                </c:pt>
                <c:pt idx="21">
                  <c:v>65.606771033938145</c:v>
                </c:pt>
                <c:pt idx="22">
                  <c:v>65.923830175185671</c:v>
                </c:pt>
                <c:pt idx="23">
                  <c:v>66.240889316433211</c:v>
                </c:pt>
                <c:pt idx="24">
                  <c:v>66.557948457680737</c:v>
                </c:pt>
                <c:pt idx="25">
                  <c:v>66.875007598928278</c:v>
                </c:pt>
                <c:pt idx="26">
                  <c:v>67.192066740175804</c:v>
                </c:pt>
                <c:pt idx="27">
                  <c:v>67.509125881423344</c:v>
                </c:pt>
                <c:pt idx="28">
                  <c:v>67.82618502267087</c:v>
                </c:pt>
                <c:pt idx="29">
                  <c:v>68.143244163918411</c:v>
                </c:pt>
                <c:pt idx="30">
                  <c:v>68.460303305165937</c:v>
                </c:pt>
                <c:pt idx="31">
                  <c:v>68.777362446413463</c:v>
                </c:pt>
                <c:pt idx="32">
                  <c:v>69.094421587661003</c:v>
                </c:pt>
                <c:pt idx="33">
                  <c:v>69.411480728908543</c:v>
                </c:pt>
                <c:pt idx="34">
                  <c:v>69.728539870156069</c:v>
                </c:pt>
                <c:pt idx="35">
                  <c:v>70.045599011403596</c:v>
                </c:pt>
                <c:pt idx="36">
                  <c:v>70.362658152651136</c:v>
                </c:pt>
                <c:pt idx="37">
                  <c:v>70.679717293898662</c:v>
                </c:pt>
                <c:pt idx="38">
                  <c:v>70.996776435146202</c:v>
                </c:pt>
                <c:pt idx="39">
                  <c:v>71.313835576393728</c:v>
                </c:pt>
                <c:pt idx="40">
                  <c:v>71.630894717641269</c:v>
                </c:pt>
                <c:pt idx="41">
                  <c:v>71.947953858888795</c:v>
                </c:pt>
                <c:pt idx="42">
                  <c:v>72.265013000136335</c:v>
                </c:pt>
                <c:pt idx="43">
                  <c:v>72.582072141383861</c:v>
                </c:pt>
                <c:pt idx="44">
                  <c:v>72.899131282631402</c:v>
                </c:pt>
                <c:pt idx="45">
                  <c:v>73.216190423878928</c:v>
                </c:pt>
                <c:pt idx="46">
                  <c:v>73.533249565126454</c:v>
                </c:pt>
                <c:pt idx="47">
                  <c:v>73.850308706373994</c:v>
                </c:pt>
                <c:pt idx="48">
                  <c:v>74.167367847621534</c:v>
                </c:pt>
                <c:pt idx="49">
                  <c:v>74.48442698886906</c:v>
                </c:pt>
                <c:pt idx="50">
                  <c:v>74.801486130116587</c:v>
                </c:pt>
                <c:pt idx="51">
                  <c:v>75.118545271364127</c:v>
                </c:pt>
                <c:pt idx="52">
                  <c:v>75.435604412611653</c:v>
                </c:pt>
                <c:pt idx="53">
                  <c:v>75.752663553859193</c:v>
                </c:pt>
                <c:pt idx="54">
                  <c:v>76.069722695106719</c:v>
                </c:pt>
                <c:pt idx="55">
                  <c:v>76.38678183635426</c:v>
                </c:pt>
                <c:pt idx="56">
                  <c:v>76.703840977601786</c:v>
                </c:pt>
                <c:pt idx="57">
                  <c:v>77.020900118849326</c:v>
                </c:pt>
                <c:pt idx="58">
                  <c:v>77.337959260096852</c:v>
                </c:pt>
                <c:pt idx="59">
                  <c:v>77.655018401344392</c:v>
                </c:pt>
                <c:pt idx="60">
                  <c:v>77.972077542591919</c:v>
                </c:pt>
                <c:pt idx="61">
                  <c:v>78.289136683839445</c:v>
                </c:pt>
                <c:pt idx="62">
                  <c:v>78.606195825086985</c:v>
                </c:pt>
                <c:pt idx="63">
                  <c:v>78.923254966334525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9A3-4B3B-AC3E-8D46A3FAB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075504"/>
        <c:axId val="429078128"/>
        <c:extLst/>
      </c:scatterChart>
      <c:valAx>
        <c:axId val="429075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9078128"/>
        <c:crosses val="autoZero"/>
        <c:crossBetween val="midCat"/>
      </c:valAx>
      <c:valAx>
        <c:axId val="42907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9075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orange mango1liter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7024683463955753E-2"/>
          <c:y val="0.1108362172786877"/>
          <c:w val="0.90832787948554627"/>
          <c:h val="0.82657635024721909"/>
        </c:manualLayout>
      </c:layout>
      <c:scatterChart>
        <c:scatterStyle val="lineMarker"/>
        <c:varyColors val="0"/>
        <c:ser>
          <c:idx val="0"/>
          <c:order val="0"/>
          <c:tx>
            <c:strRef>
              <c:f>'orange mango1liter'!$E$6</c:f>
              <c:strCache>
                <c:ptCount val="1"/>
                <c:pt idx="0">
                  <c:v>Y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strRef>
              <c:f>'orange mango1liter'!$D$6:$D$110</c:f>
              <c:strCache>
                <c:ptCount val="105"/>
                <c:pt idx="0">
                  <c:v>period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</c:strCache>
            </c:strRef>
          </c:xVal>
          <c:yVal>
            <c:numRef>
              <c:f>'orange mango1liter'!$E$7:$E$110</c:f>
              <c:numCache>
                <c:formatCode>General</c:formatCode>
                <c:ptCount val="104"/>
                <c:pt idx="0">
                  <c:v>68.604650000000007</c:v>
                </c:pt>
                <c:pt idx="1">
                  <c:v>97.093024999999997</c:v>
                </c:pt>
                <c:pt idx="2">
                  <c:v>29.069766999999999</c:v>
                </c:pt>
                <c:pt idx="3">
                  <c:v>27.906977000000001</c:v>
                </c:pt>
                <c:pt idx="4">
                  <c:v>18.895350000000001</c:v>
                </c:pt>
                <c:pt idx="5">
                  <c:v>16.569766999999999</c:v>
                </c:pt>
                <c:pt idx="6">
                  <c:v>94.476746000000006</c:v>
                </c:pt>
                <c:pt idx="7">
                  <c:v>15.406976999999999</c:v>
                </c:pt>
                <c:pt idx="8">
                  <c:v>87.5</c:v>
                </c:pt>
                <c:pt idx="9">
                  <c:v>21.802326000000001</c:v>
                </c:pt>
                <c:pt idx="10">
                  <c:v>33.526012000000001</c:v>
                </c:pt>
                <c:pt idx="11">
                  <c:v>16.473987999999999</c:v>
                </c:pt>
                <c:pt idx="12">
                  <c:v>29.190752</c:v>
                </c:pt>
                <c:pt idx="13">
                  <c:v>52.312137999999997</c:v>
                </c:pt>
                <c:pt idx="14">
                  <c:v>29.479769000000001</c:v>
                </c:pt>
                <c:pt idx="15">
                  <c:v>40.751446000000001</c:v>
                </c:pt>
                <c:pt idx="16">
                  <c:v>13.00578</c:v>
                </c:pt>
                <c:pt idx="17">
                  <c:v>31.502890000000001</c:v>
                </c:pt>
                <c:pt idx="18">
                  <c:v>45.953760000000003</c:v>
                </c:pt>
                <c:pt idx="19">
                  <c:v>23.699422999999999</c:v>
                </c:pt>
                <c:pt idx="20">
                  <c:v>53.426223999999998</c:v>
                </c:pt>
                <c:pt idx="21">
                  <c:v>43.767040000000001</c:v>
                </c:pt>
                <c:pt idx="22">
                  <c:v>66.674019999999999</c:v>
                </c:pt>
                <c:pt idx="23">
                  <c:v>56.734160000000003</c:v>
                </c:pt>
                <c:pt idx="24">
                  <c:v>65.398960000000002</c:v>
                </c:pt>
                <c:pt idx="25">
                  <c:v>14.172013</c:v>
                </c:pt>
                <c:pt idx="26">
                  <c:v>12</c:v>
                </c:pt>
                <c:pt idx="27">
                  <c:v>29</c:v>
                </c:pt>
                <c:pt idx="28">
                  <c:v>45</c:v>
                </c:pt>
                <c:pt idx="29">
                  <c:v>24</c:v>
                </c:pt>
                <c:pt idx="30">
                  <c:v>55</c:v>
                </c:pt>
                <c:pt idx="31">
                  <c:v>45</c:v>
                </c:pt>
                <c:pt idx="32">
                  <c:v>64</c:v>
                </c:pt>
                <c:pt idx="33">
                  <c:v>57</c:v>
                </c:pt>
                <c:pt idx="34">
                  <c:v>65</c:v>
                </c:pt>
                <c:pt idx="35">
                  <c:v>15</c:v>
                </c:pt>
                <c:pt idx="36">
                  <c:v>29</c:v>
                </c:pt>
                <c:pt idx="37">
                  <c:v>40</c:v>
                </c:pt>
                <c:pt idx="38">
                  <c:v>17</c:v>
                </c:pt>
                <c:pt idx="39">
                  <c:v>55</c:v>
                </c:pt>
                <c:pt idx="40">
                  <c:v>86</c:v>
                </c:pt>
                <c:pt idx="41">
                  <c:v>19</c:v>
                </c:pt>
                <c:pt idx="42">
                  <c:v>29</c:v>
                </c:pt>
                <c:pt idx="43">
                  <c:v>37</c:v>
                </c:pt>
                <c:pt idx="44">
                  <c:v>34</c:v>
                </c:pt>
                <c:pt idx="45">
                  <c:v>43</c:v>
                </c:pt>
                <c:pt idx="46">
                  <c:v>38</c:v>
                </c:pt>
                <c:pt idx="47">
                  <c:v>66</c:v>
                </c:pt>
                <c:pt idx="48">
                  <c:v>32</c:v>
                </c:pt>
                <c:pt idx="49">
                  <c:v>59</c:v>
                </c:pt>
                <c:pt idx="50">
                  <c:v>26</c:v>
                </c:pt>
                <c:pt idx="51">
                  <c:v>41</c:v>
                </c:pt>
                <c:pt idx="52">
                  <c:v>12</c:v>
                </c:pt>
                <c:pt idx="53">
                  <c:v>32</c:v>
                </c:pt>
                <c:pt idx="54">
                  <c:v>46</c:v>
                </c:pt>
                <c:pt idx="55">
                  <c:v>23</c:v>
                </c:pt>
                <c:pt idx="56">
                  <c:v>58</c:v>
                </c:pt>
                <c:pt idx="57">
                  <c:v>46</c:v>
                </c:pt>
                <c:pt idx="58">
                  <c:v>67</c:v>
                </c:pt>
                <c:pt idx="59">
                  <c:v>58</c:v>
                </c:pt>
                <c:pt idx="60">
                  <c:v>68</c:v>
                </c:pt>
                <c:pt idx="61">
                  <c:v>15</c:v>
                </c:pt>
                <c:pt idx="62">
                  <c:v>32</c:v>
                </c:pt>
                <c:pt idx="63">
                  <c:v>41</c:v>
                </c:pt>
                <c:pt idx="64">
                  <c:v>18</c:v>
                </c:pt>
                <c:pt idx="65">
                  <c:v>63</c:v>
                </c:pt>
                <c:pt idx="66">
                  <c:v>88</c:v>
                </c:pt>
                <c:pt idx="67">
                  <c:v>21</c:v>
                </c:pt>
                <c:pt idx="68">
                  <c:v>33</c:v>
                </c:pt>
                <c:pt idx="69">
                  <c:v>40</c:v>
                </c:pt>
                <c:pt idx="70">
                  <c:v>35</c:v>
                </c:pt>
                <c:pt idx="71">
                  <c:v>45</c:v>
                </c:pt>
                <c:pt idx="72">
                  <c:v>38</c:v>
                </c:pt>
                <c:pt idx="73">
                  <c:v>66</c:v>
                </c:pt>
                <c:pt idx="74">
                  <c:v>33</c:v>
                </c:pt>
                <c:pt idx="75">
                  <c:v>61</c:v>
                </c:pt>
                <c:pt idx="76">
                  <c:v>26</c:v>
                </c:pt>
                <c:pt idx="77">
                  <c:v>40</c:v>
                </c:pt>
                <c:pt idx="78">
                  <c:v>12</c:v>
                </c:pt>
                <c:pt idx="79">
                  <c:v>29</c:v>
                </c:pt>
                <c:pt idx="80">
                  <c:v>45</c:v>
                </c:pt>
                <c:pt idx="81">
                  <c:v>24</c:v>
                </c:pt>
                <c:pt idx="82">
                  <c:v>55</c:v>
                </c:pt>
                <c:pt idx="83">
                  <c:v>45</c:v>
                </c:pt>
                <c:pt idx="84">
                  <c:v>64</c:v>
                </c:pt>
                <c:pt idx="85">
                  <c:v>57</c:v>
                </c:pt>
                <c:pt idx="86">
                  <c:v>65</c:v>
                </c:pt>
                <c:pt idx="87">
                  <c:v>15</c:v>
                </c:pt>
                <c:pt idx="88">
                  <c:v>29</c:v>
                </c:pt>
                <c:pt idx="89">
                  <c:v>40</c:v>
                </c:pt>
                <c:pt idx="90">
                  <c:v>17</c:v>
                </c:pt>
                <c:pt idx="91">
                  <c:v>55</c:v>
                </c:pt>
                <c:pt idx="92">
                  <c:v>86</c:v>
                </c:pt>
                <c:pt idx="93">
                  <c:v>19</c:v>
                </c:pt>
                <c:pt idx="94">
                  <c:v>29</c:v>
                </c:pt>
                <c:pt idx="95">
                  <c:v>37</c:v>
                </c:pt>
                <c:pt idx="96">
                  <c:v>34</c:v>
                </c:pt>
                <c:pt idx="97">
                  <c:v>43</c:v>
                </c:pt>
                <c:pt idx="98">
                  <c:v>38</c:v>
                </c:pt>
                <c:pt idx="99">
                  <c:v>66</c:v>
                </c:pt>
                <c:pt idx="100">
                  <c:v>32</c:v>
                </c:pt>
                <c:pt idx="101">
                  <c:v>59</c:v>
                </c:pt>
                <c:pt idx="102">
                  <c:v>26</c:v>
                </c:pt>
                <c:pt idx="103">
                  <c:v>14.172013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18-439F-A4B1-5DAA4264F0C4}"/>
            </c:ext>
          </c:extLst>
        </c:ser>
        <c:ser>
          <c:idx val="1"/>
          <c:order val="1"/>
          <c:tx>
            <c:strRef>
              <c:f>'orange mango1liter'!$I$6</c:f>
              <c:strCache>
                <c:ptCount val="1"/>
                <c:pt idx="0">
                  <c:v>forcast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'orange mango1liter'!$D$7:$D$110</c:f>
              <c:numCache>
                <c:formatCode>General</c:formatCode>
                <c:ptCount val="1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</c:numCache>
            </c:numRef>
          </c:xVal>
          <c:yVal>
            <c:numRef>
              <c:f>'orange mango1liter'!$I$7:$I$110</c:f>
              <c:numCache>
                <c:formatCode>General</c:formatCode>
                <c:ptCount val="104"/>
                <c:pt idx="15">
                  <c:v>40.706377817416154</c:v>
                </c:pt>
                <c:pt idx="16">
                  <c:v>12.83280896852812</c:v>
                </c:pt>
                <c:pt idx="17">
                  <c:v>31.487263719757717</c:v>
                </c:pt>
                <c:pt idx="18">
                  <c:v>45.989036457554917</c:v>
                </c:pt>
                <c:pt idx="19">
                  <c:v>23.719724215219046</c:v>
                </c:pt>
                <c:pt idx="20">
                  <c:v>53.494710630975746</c:v>
                </c:pt>
                <c:pt idx="21">
                  <c:v>43.868129266144884</c:v>
                </c:pt>
                <c:pt idx="22">
                  <c:v>66.756248317120622</c:v>
                </c:pt>
                <c:pt idx="23">
                  <c:v>56.938416288571624</c:v>
                </c:pt>
                <c:pt idx="24">
                  <c:v>65.468409943421349</c:v>
                </c:pt>
                <c:pt idx="25">
                  <c:v>14.197915102319643</c:v>
                </c:pt>
                <c:pt idx="26">
                  <c:v>11.984413036441198</c:v>
                </c:pt>
                <c:pt idx="27">
                  <c:v>28.993541103846262</c:v>
                </c:pt>
                <c:pt idx="28">
                  <c:v>44.988514038885143</c:v>
                </c:pt>
                <c:pt idx="29">
                  <c:v>23.987777571626694</c:v>
                </c:pt>
                <c:pt idx="30">
                  <c:v>54.967464518292701</c:v>
                </c:pt>
                <c:pt idx="31">
                  <c:v>44.896766518611557</c:v>
                </c:pt>
                <c:pt idx="32">
                  <c:v>64.047700068488453</c:v>
                </c:pt>
                <c:pt idx="33">
                  <c:v>57.080250862490985</c:v>
                </c:pt>
                <c:pt idx="34">
                  <c:v>65.097241841520173</c:v>
                </c:pt>
                <c:pt idx="35">
                  <c:v>15.032705126746148</c:v>
                </c:pt>
                <c:pt idx="36">
                  <c:v>28.880405758157227</c:v>
                </c:pt>
                <c:pt idx="37">
                  <c:v>40.033268459417179</c:v>
                </c:pt>
                <c:pt idx="38">
                  <c:v>17.00000404179978</c:v>
                </c:pt>
                <c:pt idx="39">
                  <c:v>55.042062801822418</c:v>
                </c:pt>
                <c:pt idx="40">
                  <c:v>86.135019171789537</c:v>
                </c:pt>
                <c:pt idx="41">
                  <c:v>19.026815146702383</c:v>
                </c:pt>
                <c:pt idx="42">
                  <c:v>29.003035588797179</c:v>
                </c:pt>
                <c:pt idx="43">
                  <c:v>36.972257206446585</c:v>
                </c:pt>
                <c:pt idx="44">
                  <c:v>33.999767623867406</c:v>
                </c:pt>
                <c:pt idx="45">
                  <c:v>42.963773417852458</c:v>
                </c:pt>
                <c:pt idx="46">
                  <c:v>37.865500766481951</c:v>
                </c:pt>
                <c:pt idx="47">
                  <c:v>66.047933827703531</c:v>
                </c:pt>
                <c:pt idx="48">
                  <c:v>32.037407613036137</c:v>
                </c:pt>
                <c:pt idx="49">
                  <c:v>59.071321253001706</c:v>
                </c:pt>
                <c:pt idx="50">
                  <c:v>26.046444927854363</c:v>
                </c:pt>
                <c:pt idx="51">
                  <c:v>40.952158560579264</c:v>
                </c:pt>
                <c:pt idx="52">
                  <c:v>11.985945270712049</c:v>
                </c:pt>
                <c:pt idx="53">
                  <c:v>31.886801362994632</c:v>
                </c:pt>
                <c:pt idx="54">
                  <c:v>46.029110734340783</c:v>
                </c:pt>
                <c:pt idx="55">
                  <c:v>23.0131504970098</c:v>
                </c:pt>
                <c:pt idx="56">
                  <c:v>58.066740553067447</c:v>
                </c:pt>
                <c:pt idx="57">
                  <c:v>46.091917386071245</c:v>
                </c:pt>
                <c:pt idx="58">
                  <c:v>67.048951495315691</c:v>
                </c:pt>
                <c:pt idx="59">
                  <c:v>58.054845406640645</c:v>
                </c:pt>
                <c:pt idx="60">
                  <c:v>68.052700342795433</c:v>
                </c:pt>
                <c:pt idx="61">
                  <c:v>14.852219306617464</c:v>
                </c:pt>
                <c:pt idx="62">
                  <c:v>31.981774068695472</c:v>
                </c:pt>
                <c:pt idx="63">
                  <c:v>41.023422336732381</c:v>
                </c:pt>
                <c:pt idx="64">
                  <c:v>18.005056264281887</c:v>
                </c:pt>
                <c:pt idx="65">
                  <c:v>63.078606457265955</c:v>
                </c:pt>
                <c:pt idx="66">
                  <c:v>88.213056311330604</c:v>
                </c:pt>
                <c:pt idx="67">
                  <c:v>21.007623258591398</c:v>
                </c:pt>
                <c:pt idx="68">
                  <c:v>32.92849444888104</c:v>
                </c:pt>
                <c:pt idx="69">
                  <c:v>40.017916404276072</c:v>
                </c:pt>
                <c:pt idx="70">
                  <c:v>35.024388826683193</c:v>
                </c:pt>
                <c:pt idx="71">
                  <c:v>45.048681228458683</c:v>
                </c:pt>
                <c:pt idx="72">
                  <c:v>38.05668676841811</c:v>
                </c:pt>
                <c:pt idx="73">
                  <c:v>66.032651178908537</c:v>
                </c:pt>
                <c:pt idx="74">
                  <c:v>33.009974854153661</c:v>
                </c:pt>
                <c:pt idx="75">
                  <c:v>60.987580862720741</c:v>
                </c:pt>
                <c:pt idx="76">
                  <c:v>25.86024078548666</c:v>
                </c:pt>
                <c:pt idx="77">
                  <c:v>39.997478270213037</c:v>
                </c:pt>
                <c:pt idx="78">
                  <c:v>11.978990978065124</c:v>
                </c:pt>
                <c:pt idx="79">
                  <c:v>29.006356533166599</c:v>
                </c:pt>
                <c:pt idx="80">
                  <c:v>45.055360915754903</c:v>
                </c:pt>
                <c:pt idx="81">
                  <c:v>24.01099141383305</c:v>
                </c:pt>
                <c:pt idx="82">
                  <c:v>55.056806971639588</c:v>
                </c:pt>
                <c:pt idx="83">
                  <c:v>45.111706441926451</c:v>
                </c:pt>
                <c:pt idx="84">
                  <c:v>64.061277872368677</c:v>
                </c:pt>
                <c:pt idx="85">
                  <c:v>57.092861797119738</c:v>
                </c:pt>
                <c:pt idx="86">
                  <c:v>65.091980816899536</c:v>
                </c:pt>
                <c:pt idx="87">
                  <c:v>15.046216111262735</c:v>
                </c:pt>
                <c:pt idx="88">
                  <c:v>28.930138859898513</c:v>
                </c:pt>
                <c:pt idx="89">
                  <c:v>40.002469993514374</c:v>
                </c:pt>
                <c:pt idx="90">
                  <c:v>16.922558469608497</c:v>
                </c:pt>
                <c:pt idx="91">
                  <c:v>54.85269510062372</c:v>
                </c:pt>
                <c:pt idx="92">
                  <c:v>86.083299690786319</c:v>
                </c:pt>
                <c:pt idx="93">
                  <c:v>19.027990556727161</c:v>
                </c:pt>
                <c:pt idx="94">
                  <c:v>29.009453790770657</c:v>
                </c:pt>
                <c:pt idx="95">
                  <c:v>37.040590570897841</c:v>
                </c:pt>
                <c:pt idx="96">
                  <c:v>33.984395057152106</c:v>
                </c:pt>
                <c:pt idx="97">
                  <c:v>43.036701781676818</c:v>
                </c:pt>
                <c:pt idx="98">
                  <c:v>38.037132618454635</c:v>
                </c:pt>
                <c:pt idx="99">
                  <c:v>66.062131299786742</c:v>
                </c:pt>
                <c:pt idx="100">
                  <c:v>32.050679295502903</c:v>
                </c:pt>
                <c:pt idx="101">
                  <c:v>59.070079717327701</c:v>
                </c:pt>
                <c:pt idx="102">
                  <c:v>26.054662520174393</c:v>
                </c:pt>
                <c:pt idx="103">
                  <c:v>14.091779059527113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A118-439F-A4B1-5DAA4264F0C4}"/>
            </c:ext>
          </c:extLst>
        </c:ser>
        <c:ser>
          <c:idx val="2"/>
          <c:order val="2"/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strRef>
              <c:f>'orange mango1liter'!$D$6:$D$70</c:f>
              <c:strCache>
                <c:ptCount val="65"/>
                <c:pt idx="0">
                  <c:v>period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</c:strCache>
            </c:strRef>
          </c:xVal>
          <c:yVal>
            <c:numRef>
              <c:f>'orange mango1liter'!$M$6:$M$70</c:f>
              <c:numCache>
                <c:formatCode>General</c:formatCode>
                <c:ptCount val="65"/>
                <c:pt idx="1">
                  <c:v>42.553882933333327</c:v>
                </c:pt>
                <c:pt idx="2">
                  <c:v>40.697002666666663</c:v>
                </c:pt>
                <c:pt idx="3">
                  <c:v>35.091186333333333</c:v>
                </c:pt>
                <c:pt idx="4">
                  <c:v>35.253394533333328</c:v>
                </c:pt>
                <c:pt idx="5">
                  <c:v>36.456513399999999</c:v>
                </c:pt>
                <c:pt idx="6">
                  <c:v>36.776784933333332</c:v>
                </c:pt>
                <c:pt idx="7">
                  <c:v>39.233882066666666</c:v>
                </c:pt>
                <c:pt idx="8">
                  <c:v>35.853234999999998</c:v>
                </c:pt>
                <c:pt idx="9">
                  <c:v>39.271037866666667</c:v>
                </c:pt>
                <c:pt idx="10">
                  <c:v>37.219981866666664</c:v>
                </c:pt>
                <c:pt idx="11">
                  <c:v>40.12642413333333</c:v>
                </c:pt>
                <c:pt idx="12">
                  <c:v>38.836157533333335</c:v>
                </c:pt>
                <c:pt idx="13">
                  <c:v>38.53789166666666</c:v>
                </c:pt>
                <c:pt idx="14">
                  <c:v>38.525174866666667</c:v>
                </c:pt>
                <c:pt idx="15">
                  <c:v>38.037698999999996</c:v>
                </c:pt>
                <c:pt idx="16">
                  <c:v>37.672381066666667</c:v>
                </c:pt>
                <c:pt idx="17">
                  <c:v>38.622284666666665</c:v>
                </c:pt>
                <c:pt idx="18">
                  <c:v>40.755232666666664</c:v>
                </c:pt>
                <c:pt idx="19">
                  <c:v>42.921706666666665</c:v>
                </c:pt>
                <c:pt idx="20">
                  <c:v>43.658122666666671</c:v>
                </c:pt>
                <c:pt idx="21">
                  <c:v>46.411494466666667</c:v>
                </c:pt>
                <c:pt idx="22">
                  <c:v>43.849746199999998</c:v>
                </c:pt>
                <c:pt idx="23">
                  <c:v>42.865276866666669</c:v>
                </c:pt>
                <c:pt idx="24">
                  <c:v>41.087008866666672</c:v>
                </c:pt>
                <c:pt idx="25">
                  <c:v>38.438064866666664</c:v>
                </c:pt>
                <c:pt idx="26">
                  <c:v>37.744800866666665</c:v>
                </c:pt>
                <c:pt idx="27">
                  <c:v>42.533333333333331</c:v>
                </c:pt>
                <c:pt idx="28">
                  <c:v>43</c:v>
                </c:pt>
                <c:pt idx="29">
                  <c:v>43</c:v>
                </c:pt>
                <c:pt idx="30">
                  <c:v>42.466666666666669</c:v>
                </c:pt>
                <c:pt idx="31">
                  <c:v>43.133333333333333</c:v>
                </c:pt>
                <c:pt idx="32">
                  <c:v>42.333333333333336</c:v>
                </c:pt>
                <c:pt idx="33">
                  <c:v>41.866666666666667</c:v>
                </c:pt>
                <c:pt idx="34">
                  <c:v>42</c:v>
                </c:pt>
                <c:pt idx="35">
                  <c:v>40.333333333333336</c:v>
                </c:pt>
                <c:pt idx="36">
                  <c:v>39.93333333333333</c:v>
                </c:pt>
                <c:pt idx="37">
                  <c:v>40.666666666666664</c:v>
                </c:pt>
                <c:pt idx="38">
                  <c:v>41.466666666666669</c:v>
                </c:pt>
                <c:pt idx="39">
                  <c:v>39.6</c:v>
                </c:pt>
                <c:pt idx="40">
                  <c:v>40.6</c:v>
                </c:pt>
                <c:pt idx="41">
                  <c:v>40</c:v>
                </c:pt>
                <c:pt idx="42">
                  <c:v>35.799999999999997</c:v>
                </c:pt>
                <c:pt idx="43">
                  <c:v>38.4</c:v>
                </c:pt>
                <c:pt idx="44">
                  <c:v>39.533333333333331</c:v>
                </c:pt>
                <c:pt idx="45">
                  <c:v>41.533333333333331</c:v>
                </c:pt>
                <c:pt idx="46">
                  <c:v>43.133333333333333</c:v>
                </c:pt>
                <c:pt idx="47">
                  <c:v>44.8</c:v>
                </c:pt>
                <c:pt idx="48">
                  <c:v>43.266666666666666</c:v>
                </c:pt>
                <c:pt idx="49">
                  <c:v>41</c:v>
                </c:pt>
                <c:pt idx="50">
                  <c:v>41.6</c:v>
                </c:pt>
                <c:pt idx="51">
                  <c:v>38.866666666666667</c:v>
                </c:pt>
                <c:pt idx="52">
                  <c:v>41.333333333333336</c:v>
                </c:pt>
                <c:pt idx="53">
                  <c:v>44.466666666666669</c:v>
                </c:pt>
                <c:pt idx="54">
                  <c:v>45.06666666666667</c:v>
                </c:pt>
                <c:pt idx="55">
                  <c:v>45.133333333333333</c:v>
                </c:pt>
                <c:pt idx="56">
                  <c:v>44.733333333333334</c:v>
                </c:pt>
                <c:pt idx="57">
                  <c:v>45.533333333333331</c:v>
                </c:pt>
                <c:pt idx="58">
                  <c:v>44.666666666666664</c:v>
                </c:pt>
                <c:pt idx="59">
                  <c:v>44.133333333333333</c:v>
                </c:pt>
                <c:pt idx="60">
                  <c:v>44.06666666666667</c:v>
                </c:pt>
                <c:pt idx="61">
                  <c:v>42.4</c:v>
                </c:pt>
                <c:pt idx="62">
                  <c:v>41.93333333333333</c:v>
                </c:pt>
                <c:pt idx="63">
                  <c:v>42.666666666666664</c:v>
                </c:pt>
                <c:pt idx="64">
                  <c:v>43.2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18-439F-A4B1-5DAA4264F0C4}"/>
            </c:ext>
          </c:extLst>
        </c:ser>
        <c:ser>
          <c:idx val="3"/>
          <c:order val="3"/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'orange mango1liter'!$D$7:$D$70</c:f>
              <c:numCache>
                <c:formatCode>General</c:formatCode>
                <c:ptCount val="6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</c:numCache>
            </c:numRef>
          </c:xVal>
          <c:yVal>
            <c:numRef>
              <c:f>'orange mango1liter'!$O$7:$O$70</c:f>
              <c:numCache>
                <c:formatCode>General</c:formatCode>
                <c:ptCount val="64"/>
                <c:pt idx="0">
                  <c:v>41.459280624977097</c:v>
                </c:pt>
                <c:pt idx="1">
                  <c:v>41.459280624977097</c:v>
                </c:pt>
                <c:pt idx="2">
                  <c:v>41.459280624977097</c:v>
                </c:pt>
                <c:pt idx="3">
                  <c:v>41.459280624977097</c:v>
                </c:pt>
                <c:pt idx="4">
                  <c:v>41.459280624977097</c:v>
                </c:pt>
                <c:pt idx="5">
                  <c:v>41.459280624977097</c:v>
                </c:pt>
                <c:pt idx="6">
                  <c:v>41.459280624977097</c:v>
                </c:pt>
                <c:pt idx="7">
                  <c:v>41.459280624977097</c:v>
                </c:pt>
                <c:pt idx="8">
                  <c:v>41.459280624977097</c:v>
                </c:pt>
                <c:pt idx="9">
                  <c:v>41.459280624977097</c:v>
                </c:pt>
                <c:pt idx="10">
                  <c:v>41.459280624977097</c:v>
                </c:pt>
                <c:pt idx="11">
                  <c:v>41.459280624977097</c:v>
                </c:pt>
                <c:pt idx="12">
                  <c:v>41.459280624977097</c:v>
                </c:pt>
                <c:pt idx="13">
                  <c:v>41.459280624977097</c:v>
                </c:pt>
                <c:pt idx="14">
                  <c:v>41.459280624977097</c:v>
                </c:pt>
                <c:pt idx="15">
                  <c:v>41.459280624977097</c:v>
                </c:pt>
                <c:pt idx="16">
                  <c:v>41.459280624977097</c:v>
                </c:pt>
                <c:pt idx="17">
                  <c:v>41.459280624977097</c:v>
                </c:pt>
                <c:pt idx="18">
                  <c:v>41.459280624977097</c:v>
                </c:pt>
                <c:pt idx="19">
                  <c:v>41.459280624977097</c:v>
                </c:pt>
                <c:pt idx="20">
                  <c:v>41.459280624977097</c:v>
                </c:pt>
                <c:pt idx="21">
                  <c:v>41.459280624977097</c:v>
                </c:pt>
                <c:pt idx="22">
                  <c:v>41.459280624977097</c:v>
                </c:pt>
                <c:pt idx="23">
                  <c:v>41.459280624977097</c:v>
                </c:pt>
                <c:pt idx="24">
                  <c:v>41.459280624977097</c:v>
                </c:pt>
                <c:pt idx="25">
                  <c:v>41.459280624977097</c:v>
                </c:pt>
                <c:pt idx="26">
                  <c:v>41.459280624977097</c:v>
                </c:pt>
                <c:pt idx="27">
                  <c:v>41.459280624977097</c:v>
                </c:pt>
                <c:pt idx="28">
                  <c:v>41.459280624977097</c:v>
                </c:pt>
                <c:pt idx="29">
                  <c:v>41.459280624977097</c:v>
                </c:pt>
                <c:pt idx="30">
                  <c:v>41.459280624977097</c:v>
                </c:pt>
                <c:pt idx="31">
                  <c:v>41.459280624977097</c:v>
                </c:pt>
                <c:pt idx="32">
                  <c:v>41.459280624977097</c:v>
                </c:pt>
                <c:pt idx="33">
                  <c:v>41.459280624977097</c:v>
                </c:pt>
                <c:pt idx="34">
                  <c:v>41.459280624977097</c:v>
                </c:pt>
                <c:pt idx="35">
                  <c:v>41.459280624977097</c:v>
                </c:pt>
                <c:pt idx="36">
                  <c:v>41.459280624977097</c:v>
                </c:pt>
                <c:pt idx="37">
                  <c:v>41.459280624977097</c:v>
                </c:pt>
                <c:pt idx="38">
                  <c:v>41.459280624977097</c:v>
                </c:pt>
                <c:pt idx="39">
                  <c:v>41.459280624977097</c:v>
                </c:pt>
                <c:pt idx="40">
                  <c:v>41.459280624977097</c:v>
                </c:pt>
                <c:pt idx="41">
                  <c:v>41.459280624977097</c:v>
                </c:pt>
                <c:pt idx="42">
                  <c:v>41.459280624977097</c:v>
                </c:pt>
                <c:pt idx="43">
                  <c:v>41.459280624977097</c:v>
                </c:pt>
                <c:pt idx="44">
                  <c:v>41.459280624977097</c:v>
                </c:pt>
                <c:pt idx="45">
                  <c:v>41.459280624977097</c:v>
                </c:pt>
                <c:pt idx="46">
                  <c:v>41.459280624977097</c:v>
                </c:pt>
                <c:pt idx="47">
                  <c:v>41.459280624977097</c:v>
                </c:pt>
                <c:pt idx="48">
                  <c:v>41.459280624977097</c:v>
                </c:pt>
                <c:pt idx="49">
                  <c:v>41.459280624977097</c:v>
                </c:pt>
                <c:pt idx="50">
                  <c:v>41.459280624977097</c:v>
                </c:pt>
                <c:pt idx="51">
                  <c:v>41.459280624977097</c:v>
                </c:pt>
                <c:pt idx="52">
                  <c:v>41.459280624977097</c:v>
                </c:pt>
                <c:pt idx="53">
                  <c:v>41.459280624977097</c:v>
                </c:pt>
                <c:pt idx="54">
                  <c:v>41.459280624977097</c:v>
                </c:pt>
                <c:pt idx="55">
                  <c:v>41.459280624977097</c:v>
                </c:pt>
                <c:pt idx="56">
                  <c:v>41.459280624977097</c:v>
                </c:pt>
                <c:pt idx="57">
                  <c:v>41.459280624977097</c:v>
                </c:pt>
                <c:pt idx="58">
                  <c:v>41.459280624977097</c:v>
                </c:pt>
                <c:pt idx="59">
                  <c:v>41.459280624977097</c:v>
                </c:pt>
                <c:pt idx="60">
                  <c:v>41.459280624977097</c:v>
                </c:pt>
                <c:pt idx="61">
                  <c:v>41.459280624977097</c:v>
                </c:pt>
                <c:pt idx="62">
                  <c:v>41.459280624977097</c:v>
                </c:pt>
                <c:pt idx="63">
                  <c:v>41.459280624977097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18-439F-A4B1-5DAA4264F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075504"/>
        <c:axId val="429078128"/>
        <c:extLst/>
      </c:scatterChart>
      <c:valAx>
        <c:axId val="429075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9078128"/>
        <c:crosses val="autoZero"/>
        <c:crossBetween val="midCat"/>
      </c:valAx>
      <c:valAx>
        <c:axId val="42907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9075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orange cpower1liter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7024683463955753E-2"/>
          <c:y val="0.1108362172786877"/>
          <c:w val="0.90832787948554627"/>
          <c:h val="0.82657635024721909"/>
        </c:manualLayout>
      </c:layout>
      <c:scatterChart>
        <c:scatterStyle val="lineMarker"/>
        <c:varyColors val="0"/>
        <c:ser>
          <c:idx val="0"/>
          <c:order val="0"/>
          <c:tx>
            <c:strRef>
              <c:f>'orange cpower1liter'!$E$6</c:f>
              <c:strCache>
                <c:ptCount val="1"/>
                <c:pt idx="0">
                  <c:v>Y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strRef>
              <c:f>'orange cpower1liter'!$D$6:$D$110</c:f>
              <c:strCache>
                <c:ptCount val="105"/>
                <c:pt idx="0">
                  <c:v>period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</c:strCache>
            </c:strRef>
          </c:xVal>
          <c:yVal>
            <c:numRef>
              <c:f>'orange cpower1liter'!$E$7:$E$110</c:f>
              <c:numCache>
                <c:formatCode>General</c:formatCode>
                <c:ptCount val="104"/>
                <c:pt idx="0">
                  <c:v>24.043478</c:v>
                </c:pt>
                <c:pt idx="1">
                  <c:v>2.3333333000000001</c:v>
                </c:pt>
                <c:pt idx="2">
                  <c:v>6.3913045000000004</c:v>
                </c:pt>
                <c:pt idx="3">
                  <c:v>11.362318999999999</c:v>
                </c:pt>
                <c:pt idx="4">
                  <c:v>11.057971</c:v>
                </c:pt>
                <c:pt idx="5">
                  <c:v>14.304347999999999</c:v>
                </c:pt>
                <c:pt idx="6">
                  <c:v>18.057971999999999</c:v>
                </c:pt>
                <c:pt idx="7">
                  <c:v>7.8115940000000004</c:v>
                </c:pt>
                <c:pt idx="8">
                  <c:v>16.130434000000001</c:v>
                </c:pt>
                <c:pt idx="9">
                  <c:v>7.1014495000000002</c:v>
                </c:pt>
                <c:pt idx="10">
                  <c:v>10.174417999999999</c:v>
                </c:pt>
                <c:pt idx="11">
                  <c:v>3.2558137999999999</c:v>
                </c:pt>
                <c:pt idx="12">
                  <c:v>13.430232999999999</c:v>
                </c:pt>
                <c:pt idx="13">
                  <c:v>14.040698000000001</c:v>
                </c:pt>
                <c:pt idx="14">
                  <c:v>9.8691859999999991</c:v>
                </c:pt>
                <c:pt idx="15">
                  <c:v>11.293604999999999</c:v>
                </c:pt>
                <c:pt idx="16">
                  <c:v>9.1569769999999995</c:v>
                </c:pt>
                <c:pt idx="17">
                  <c:v>9.8691859999999991</c:v>
                </c:pt>
                <c:pt idx="18">
                  <c:v>13.735465</c:v>
                </c:pt>
                <c:pt idx="19">
                  <c:v>8.75</c:v>
                </c:pt>
                <c:pt idx="20">
                  <c:v>4.4675745999999998</c:v>
                </c:pt>
                <c:pt idx="21">
                  <c:v>22.058669999999999</c:v>
                </c:pt>
                <c:pt idx="22">
                  <c:v>4.8539279999999998</c:v>
                </c:pt>
                <c:pt idx="23">
                  <c:v>13.798203000000001</c:v>
                </c:pt>
                <c:pt idx="24">
                  <c:v>29.557245000000002</c:v>
                </c:pt>
                <c:pt idx="25">
                  <c:v>5.3318849999999998</c:v>
                </c:pt>
                <c:pt idx="26">
                  <c:v>17</c:v>
                </c:pt>
                <c:pt idx="27">
                  <c:v>8</c:v>
                </c:pt>
                <c:pt idx="28">
                  <c:v>11</c:v>
                </c:pt>
                <c:pt idx="29">
                  <c:v>1</c:v>
                </c:pt>
                <c:pt idx="30">
                  <c:v>10</c:v>
                </c:pt>
                <c:pt idx="31">
                  <c:v>11</c:v>
                </c:pt>
                <c:pt idx="32">
                  <c:v>1</c:v>
                </c:pt>
                <c:pt idx="33">
                  <c:v>31</c:v>
                </c:pt>
                <c:pt idx="34">
                  <c:v>11</c:v>
                </c:pt>
                <c:pt idx="35">
                  <c:v>7</c:v>
                </c:pt>
                <c:pt idx="36">
                  <c:v>8</c:v>
                </c:pt>
                <c:pt idx="37">
                  <c:v>6</c:v>
                </c:pt>
                <c:pt idx="38">
                  <c:v>19</c:v>
                </c:pt>
                <c:pt idx="39">
                  <c:v>1</c:v>
                </c:pt>
                <c:pt idx="40">
                  <c:v>31</c:v>
                </c:pt>
                <c:pt idx="41">
                  <c:v>10</c:v>
                </c:pt>
                <c:pt idx="42">
                  <c:v>10</c:v>
                </c:pt>
                <c:pt idx="43">
                  <c:v>11</c:v>
                </c:pt>
                <c:pt idx="44">
                  <c:v>13</c:v>
                </c:pt>
                <c:pt idx="45">
                  <c:v>10</c:v>
                </c:pt>
                <c:pt idx="46">
                  <c:v>0.05</c:v>
                </c:pt>
                <c:pt idx="47">
                  <c:v>11</c:v>
                </c:pt>
                <c:pt idx="48">
                  <c:v>11</c:v>
                </c:pt>
                <c:pt idx="49">
                  <c:v>0.05</c:v>
                </c:pt>
                <c:pt idx="50">
                  <c:v>11</c:v>
                </c:pt>
                <c:pt idx="51">
                  <c:v>18</c:v>
                </c:pt>
                <c:pt idx="52">
                  <c:v>10</c:v>
                </c:pt>
                <c:pt idx="53">
                  <c:v>12</c:v>
                </c:pt>
                <c:pt idx="54">
                  <c:v>6</c:v>
                </c:pt>
                <c:pt idx="55">
                  <c:v>5</c:v>
                </c:pt>
                <c:pt idx="56">
                  <c:v>9</c:v>
                </c:pt>
                <c:pt idx="57">
                  <c:v>18</c:v>
                </c:pt>
                <c:pt idx="58">
                  <c:v>3</c:v>
                </c:pt>
                <c:pt idx="59">
                  <c:v>24</c:v>
                </c:pt>
                <c:pt idx="60">
                  <c:v>3</c:v>
                </c:pt>
                <c:pt idx="61">
                  <c:v>19</c:v>
                </c:pt>
                <c:pt idx="62">
                  <c:v>9</c:v>
                </c:pt>
                <c:pt idx="63">
                  <c:v>12</c:v>
                </c:pt>
                <c:pt idx="64">
                  <c:v>11</c:v>
                </c:pt>
                <c:pt idx="65">
                  <c:v>9</c:v>
                </c:pt>
                <c:pt idx="66">
                  <c:v>23</c:v>
                </c:pt>
                <c:pt idx="67">
                  <c:v>0.5</c:v>
                </c:pt>
                <c:pt idx="68">
                  <c:v>11</c:v>
                </c:pt>
                <c:pt idx="69">
                  <c:v>9</c:v>
                </c:pt>
                <c:pt idx="70">
                  <c:v>0.8</c:v>
                </c:pt>
                <c:pt idx="71">
                  <c:v>15</c:v>
                </c:pt>
                <c:pt idx="72">
                  <c:v>16</c:v>
                </c:pt>
                <c:pt idx="73">
                  <c:v>15</c:v>
                </c:pt>
                <c:pt idx="74">
                  <c:v>10</c:v>
                </c:pt>
                <c:pt idx="75">
                  <c:v>5</c:v>
                </c:pt>
                <c:pt idx="76">
                  <c:v>5</c:v>
                </c:pt>
                <c:pt idx="77">
                  <c:v>27</c:v>
                </c:pt>
                <c:pt idx="78">
                  <c:v>10</c:v>
                </c:pt>
                <c:pt idx="79">
                  <c:v>12</c:v>
                </c:pt>
                <c:pt idx="80">
                  <c:v>6</c:v>
                </c:pt>
                <c:pt idx="81">
                  <c:v>5</c:v>
                </c:pt>
                <c:pt idx="82">
                  <c:v>9</c:v>
                </c:pt>
                <c:pt idx="83">
                  <c:v>18</c:v>
                </c:pt>
                <c:pt idx="84">
                  <c:v>3</c:v>
                </c:pt>
                <c:pt idx="85">
                  <c:v>24</c:v>
                </c:pt>
                <c:pt idx="86">
                  <c:v>3</c:v>
                </c:pt>
                <c:pt idx="87">
                  <c:v>19</c:v>
                </c:pt>
                <c:pt idx="88">
                  <c:v>9</c:v>
                </c:pt>
                <c:pt idx="89">
                  <c:v>12</c:v>
                </c:pt>
                <c:pt idx="90">
                  <c:v>11</c:v>
                </c:pt>
                <c:pt idx="91">
                  <c:v>9</c:v>
                </c:pt>
                <c:pt idx="92">
                  <c:v>23</c:v>
                </c:pt>
                <c:pt idx="93">
                  <c:v>0.5</c:v>
                </c:pt>
                <c:pt idx="94">
                  <c:v>11</c:v>
                </c:pt>
                <c:pt idx="95">
                  <c:v>9</c:v>
                </c:pt>
                <c:pt idx="96">
                  <c:v>0.8</c:v>
                </c:pt>
                <c:pt idx="97">
                  <c:v>15</c:v>
                </c:pt>
                <c:pt idx="98">
                  <c:v>16</c:v>
                </c:pt>
                <c:pt idx="99">
                  <c:v>15</c:v>
                </c:pt>
                <c:pt idx="100">
                  <c:v>10</c:v>
                </c:pt>
                <c:pt idx="101">
                  <c:v>5</c:v>
                </c:pt>
                <c:pt idx="102">
                  <c:v>5</c:v>
                </c:pt>
                <c:pt idx="103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F4-4857-98EF-306DAAD7910F}"/>
            </c:ext>
          </c:extLst>
        </c:ser>
        <c:ser>
          <c:idx val="1"/>
          <c:order val="1"/>
          <c:tx>
            <c:strRef>
              <c:f>'orange cpower1liter'!$I$6</c:f>
              <c:strCache>
                <c:ptCount val="1"/>
                <c:pt idx="0">
                  <c:v>forcast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'orange cpower1liter'!$D$7:$D$110</c:f>
              <c:numCache>
                <c:formatCode>General</c:formatCode>
                <c:ptCount val="1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</c:numCache>
            </c:numRef>
          </c:xVal>
          <c:yVal>
            <c:numRef>
              <c:f>'orange cpower1liter'!$I$7:$I$110</c:f>
              <c:numCache>
                <c:formatCode>General</c:formatCode>
                <c:ptCount val="104"/>
                <c:pt idx="15">
                  <c:v>11.293604999999999</c:v>
                </c:pt>
                <c:pt idx="16">
                  <c:v>9.1569769999999977</c:v>
                </c:pt>
                <c:pt idx="17">
                  <c:v>9.8691859999999991</c:v>
                </c:pt>
                <c:pt idx="18">
                  <c:v>13.735465</c:v>
                </c:pt>
                <c:pt idx="19">
                  <c:v>8.75</c:v>
                </c:pt>
                <c:pt idx="20">
                  <c:v>4.4675745999999998</c:v>
                </c:pt>
                <c:pt idx="21">
                  <c:v>22.058669999999996</c:v>
                </c:pt>
                <c:pt idx="22">
                  <c:v>4.8539280000000007</c:v>
                </c:pt>
                <c:pt idx="23">
                  <c:v>13.798202999999997</c:v>
                </c:pt>
                <c:pt idx="24">
                  <c:v>29.557244999999995</c:v>
                </c:pt>
                <c:pt idx="25">
                  <c:v>5.3318850000000042</c:v>
                </c:pt>
                <c:pt idx="26">
                  <c:v>17</c:v>
                </c:pt>
                <c:pt idx="27">
                  <c:v>8.0000000000000071</c:v>
                </c:pt>
                <c:pt idx="28">
                  <c:v>10.999999999999998</c:v>
                </c:pt>
                <c:pt idx="29">
                  <c:v>1.0000000000000004</c:v>
                </c:pt>
                <c:pt idx="30">
                  <c:v>9.9999999999999982</c:v>
                </c:pt>
                <c:pt idx="31">
                  <c:v>10.999999999999998</c:v>
                </c:pt>
                <c:pt idx="32">
                  <c:v>1.0000000000000033</c:v>
                </c:pt>
                <c:pt idx="33">
                  <c:v>30.999999999999996</c:v>
                </c:pt>
                <c:pt idx="34">
                  <c:v>11.000000000000002</c:v>
                </c:pt>
                <c:pt idx="35">
                  <c:v>7</c:v>
                </c:pt>
                <c:pt idx="36">
                  <c:v>8</c:v>
                </c:pt>
                <c:pt idx="37">
                  <c:v>5.9999999999999982</c:v>
                </c:pt>
                <c:pt idx="38">
                  <c:v>19</c:v>
                </c:pt>
                <c:pt idx="39">
                  <c:v>1.0000000000000009</c:v>
                </c:pt>
                <c:pt idx="40">
                  <c:v>30.999999999999993</c:v>
                </c:pt>
                <c:pt idx="41">
                  <c:v>9.9999999999999982</c:v>
                </c:pt>
                <c:pt idx="42">
                  <c:v>10.000000000000002</c:v>
                </c:pt>
                <c:pt idx="43">
                  <c:v>11</c:v>
                </c:pt>
                <c:pt idx="44">
                  <c:v>13</c:v>
                </c:pt>
                <c:pt idx="45">
                  <c:v>10.000000000000002</c:v>
                </c:pt>
                <c:pt idx="46">
                  <c:v>5.0000000000000107E-2</c:v>
                </c:pt>
                <c:pt idx="47">
                  <c:v>10.999999999999998</c:v>
                </c:pt>
                <c:pt idx="48">
                  <c:v>11</c:v>
                </c:pt>
                <c:pt idx="49">
                  <c:v>5.0000000000001182E-2</c:v>
                </c:pt>
                <c:pt idx="50">
                  <c:v>10.999999999999996</c:v>
                </c:pt>
                <c:pt idx="51">
                  <c:v>18</c:v>
                </c:pt>
                <c:pt idx="52">
                  <c:v>10</c:v>
                </c:pt>
                <c:pt idx="53">
                  <c:v>12</c:v>
                </c:pt>
                <c:pt idx="54">
                  <c:v>6.0000000000000009</c:v>
                </c:pt>
                <c:pt idx="55">
                  <c:v>5</c:v>
                </c:pt>
                <c:pt idx="56">
                  <c:v>9</c:v>
                </c:pt>
                <c:pt idx="57">
                  <c:v>18</c:v>
                </c:pt>
                <c:pt idx="58">
                  <c:v>3.0000000000000018</c:v>
                </c:pt>
                <c:pt idx="59">
                  <c:v>23.999999999999996</c:v>
                </c:pt>
                <c:pt idx="60">
                  <c:v>3.0000000000000058</c:v>
                </c:pt>
                <c:pt idx="61">
                  <c:v>18.999999999999996</c:v>
                </c:pt>
                <c:pt idx="62">
                  <c:v>9.0000000000000053</c:v>
                </c:pt>
                <c:pt idx="63">
                  <c:v>12</c:v>
                </c:pt>
                <c:pt idx="64">
                  <c:v>11</c:v>
                </c:pt>
                <c:pt idx="65">
                  <c:v>9</c:v>
                </c:pt>
                <c:pt idx="66">
                  <c:v>22.999999999999996</c:v>
                </c:pt>
                <c:pt idx="67">
                  <c:v>0.500000000000001</c:v>
                </c:pt>
                <c:pt idx="68">
                  <c:v>10.999999999999998</c:v>
                </c:pt>
                <c:pt idx="69">
                  <c:v>8.9999999999999982</c:v>
                </c:pt>
                <c:pt idx="70">
                  <c:v>0.80000000000000138</c:v>
                </c:pt>
                <c:pt idx="71">
                  <c:v>14.999999999999998</c:v>
                </c:pt>
                <c:pt idx="72">
                  <c:v>16.000000000000004</c:v>
                </c:pt>
                <c:pt idx="73">
                  <c:v>15</c:v>
                </c:pt>
                <c:pt idx="74">
                  <c:v>10</c:v>
                </c:pt>
                <c:pt idx="75">
                  <c:v>5.0000000000000018</c:v>
                </c:pt>
                <c:pt idx="76">
                  <c:v>5</c:v>
                </c:pt>
                <c:pt idx="77">
                  <c:v>26.999999999999996</c:v>
                </c:pt>
                <c:pt idx="78">
                  <c:v>10.000000000000004</c:v>
                </c:pt>
                <c:pt idx="79">
                  <c:v>12</c:v>
                </c:pt>
                <c:pt idx="80">
                  <c:v>6.0000000000000018</c:v>
                </c:pt>
                <c:pt idx="81">
                  <c:v>5</c:v>
                </c:pt>
                <c:pt idx="82">
                  <c:v>8.9999999999999982</c:v>
                </c:pt>
                <c:pt idx="83">
                  <c:v>18</c:v>
                </c:pt>
                <c:pt idx="84">
                  <c:v>3.0000000000000009</c:v>
                </c:pt>
                <c:pt idx="85">
                  <c:v>23.999999999999996</c:v>
                </c:pt>
                <c:pt idx="86">
                  <c:v>3.0000000000000004</c:v>
                </c:pt>
                <c:pt idx="87">
                  <c:v>19</c:v>
                </c:pt>
                <c:pt idx="88">
                  <c:v>9.0000000000000018</c:v>
                </c:pt>
                <c:pt idx="89">
                  <c:v>11.999999999999998</c:v>
                </c:pt>
                <c:pt idx="90">
                  <c:v>11.000000000000002</c:v>
                </c:pt>
                <c:pt idx="91">
                  <c:v>9</c:v>
                </c:pt>
                <c:pt idx="92">
                  <c:v>23.000000000000004</c:v>
                </c:pt>
                <c:pt idx="93">
                  <c:v>0.50000000000000444</c:v>
                </c:pt>
                <c:pt idx="94">
                  <c:v>10.999999999999998</c:v>
                </c:pt>
                <c:pt idx="95">
                  <c:v>9</c:v>
                </c:pt>
                <c:pt idx="96">
                  <c:v>0.80000000000000104</c:v>
                </c:pt>
                <c:pt idx="97">
                  <c:v>14.999999999999996</c:v>
                </c:pt>
                <c:pt idx="98">
                  <c:v>16</c:v>
                </c:pt>
                <c:pt idx="99">
                  <c:v>14.999999999999996</c:v>
                </c:pt>
                <c:pt idx="100">
                  <c:v>10</c:v>
                </c:pt>
                <c:pt idx="101">
                  <c:v>4.9999999999999991</c:v>
                </c:pt>
                <c:pt idx="102">
                  <c:v>5.0000000000000018</c:v>
                </c:pt>
                <c:pt idx="103">
                  <c:v>26.999999999999996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CF4-4857-98EF-306DAAD7910F}"/>
            </c:ext>
          </c:extLst>
        </c:ser>
        <c:ser>
          <c:idx val="2"/>
          <c:order val="2"/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strRef>
              <c:f>'orange cpower1liter'!$D$6:$D$70</c:f>
              <c:strCache>
                <c:ptCount val="65"/>
                <c:pt idx="0">
                  <c:v>period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</c:strCache>
            </c:strRef>
          </c:xVal>
          <c:yVal>
            <c:numRef>
              <c:f>'orange cpower1liter'!$M$6:$M$70</c:f>
              <c:numCache>
                <c:formatCode>General</c:formatCode>
                <c:ptCount val="65"/>
                <c:pt idx="1">
                  <c:v>11.290970139999997</c:v>
                </c:pt>
                <c:pt idx="2">
                  <c:v>10.44097860666667</c:v>
                </c:pt>
                <c:pt idx="3">
                  <c:v>10.895888186666667</c:v>
                </c:pt>
                <c:pt idx="4">
                  <c:v>11.127746953333334</c:v>
                </c:pt>
                <c:pt idx="5">
                  <c:v>11.285956686666667</c:v>
                </c:pt>
                <c:pt idx="6">
                  <c:v>11.132091953333333</c:v>
                </c:pt>
                <c:pt idx="7">
                  <c:v>10.476307060000002</c:v>
                </c:pt>
                <c:pt idx="8">
                  <c:v>10.743020260000002</c:v>
                </c:pt>
                <c:pt idx="9">
                  <c:v>10.545842526666666</c:v>
                </c:pt>
                <c:pt idx="10">
                  <c:v>10.39036046</c:v>
                </c:pt>
                <c:pt idx="11">
                  <c:v>11.887413493333334</c:v>
                </c:pt>
                <c:pt idx="12">
                  <c:v>11.564577960000001</c:v>
                </c:pt>
                <c:pt idx="13">
                  <c:v>12.48085704</c:v>
                </c:pt>
                <c:pt idx="14">
                  <c:v>12.118841506666666</c:v>
                </c:pt>
                <c:pt idx="15">
                  <c:v>11.916128306666666</c:v>
                </c:pt>
                <c:pt idx="16">
                  <c:v>11.324849239999999</c:v>
                </c:pt>
                <c:pt idx="17">
                  <c:v>11.238608906666665</c:v>
                </c:pt>
                <c:pt idx="18">
                  <c:v>11.361477106666666</c:v>
                </c:pt>
                <c:pt idx="19">
                  <c:v>10.77019804</c:v>
                </c:pt>
                <c:pt idx="20">
                  <c:v>11.92116704</c:v>
                </c:pt>
                <c:pt idx="21">
                  <c:v>12.071167040000001</c:v>
                </c:pt>
                <c:pt idx="22">
                  <c:v>12.2399954</c:v>
                </c:pt>
                <c:pt idx="23">
                  <c:v>11.302750733333335</c:v>
                </c:pt>
                <c:pt idx="24">
                  <c:v>11.379155533333334</c:v>
                </c:pt>
                <c:pt idx="25">
                  <c:v>11.725942</c:v>
                </c:pt>
                <c:pt idx="26">
                  <c:v>9.8221256666666665</c:v>
                </c:pt>
                <c:pt idx="27">
                  <c:v>11.533333333333333</c:v>
                </c:pt>
                <c:pt idx="28">
                  <c:v>11.066666666666666</c:v>
                </c:pt>
                <c:pt idx="29">
                  <c:v>11.2</c:v>
                </c:pt>
                <c:pt idx="30">
                  <c:v>11.2</c:v>
                </c:pt>
                <c:pt idx="31">
                  <c:v>12</c:v>
                </c:pt>
                <c:pt idx="32">
                  <c:v>12</c:v>
                </c:pt>
                <c:pt idx="33">
                  <c:v>11.270000000000001</c:v>
                </c:pt>
                <c:pt idx="34">
                  <c:v>11.936666666666667</c:v>
                </c:pt>
                <c:pt idx="35">
                  <c:v>10.603333333333333</c:v>
                </c:pt>
                <c:pt idx="36">
                  <c:v>9.8733333333333348</c:v>
                </c:pt>
                <c:pt idx="37">
                  <c:v>10.140000000000002</c:v>
                </c:pt>
                <c:pt idx="38">
                  <c:v>10.806666666666668</c:v>
                </c:pt>
                <c:pt idx="39">
                  <c:v>11.073333333333332</c:v>
                </c:pt>
                <c:pt idx="40">
                  <c:v>10.606666666666666</c:v>
                </c:pt>
                <c:pt idx="41">
                  <c:v>10.94</c:v>
                </c:pt>
                <c:pt idx="42">
                  <c:v>9.206666666666667</c:v>
                </c:pt>
                <c:pt idx="43">
                  <c:v>9.1399999999999988</c:v>
                </c:pt>
                <c:pt idx="44">
                  <c:v>9.6733333333333338</c:v>
                </c:pt>
                <c:pt idx="45">
                  <c:v>9.1399999999999988</c:v>
                </c:pt>
                <c:pt idx="46">
                  <c:v>9.8733333333333331</c:v>
                </c:pt>
                <c:pt idx="47">
                  <c:v>9.4066666666666663</c:v>
                </c:pt>
                <c:pt idx="48">
                  <c:v>10.67</c:v>
                </c:pt>
                <c:pt idx="49">
                  <c:v>10.536666666666667</c:v>
                </c:pt>
                <c:pt idx="50">
                  <c:v>10.603333333333333</c:v>
                </c:pt>
                <c:pt idx="51">
                  <c:v>11.333333333333334</c:v>
                </c:pt>
                <c:pt idx="52">
                  <c:v>11.2</c:v>
                </c:pt>
                <c:pt idx="53">
                  <c:v>11.533333333333333</c:v>
                </c:pt>
                <c:pt idx="54">
                  <c:v>10.9</c:v>
                </c:pt>
                <c:pt idx="55">
                  <c:v>10.833333333333334</c:v>
                </c:pt>
                <c:pt idx="56">
                  <c:v>11.033333333333333</c:v>
                </c:pt>
                <c:pt idx="57">
                  <c:v>10.753333333333334</c:v>
                </c:pt>
                <c:pt idx="58">
                  <c:v>11.153333333333334</c:v>
                </c:pt>
                <c:pt idx="59">
                  <c:v>11.020000000000001</c:v>
                </c:pt>
                <c:pt idx="60">
                  <c:v>11.82</c:v>
                </c:pt>
                <c:pt idx="61">
                  <c:v>10.886666666666667</c:v>
                </c:pt>
                <c:pt idx="62">
                  <c:v>11.020000000000001</c:v>
                </c:pt>
                <c:pt idx="63">
                  <c:v>10.086666666666668</c:v>
                </c:pt>
                <c:pt idx="64">
                  <c:v>11.286666666666667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F4-4857-98EF-306DAAD7910F}"/>
            </c:ext>
          </c:extLst>
        </c:ser>
        <c:ser>
          <c:idx val="3"/>
          <c:order val="3"/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'orange cpower1liter'!$D$7:$D$70</c:f>
              <c:numCache>
                <c:formatCode>General</c:formatCode>
                <c:ptCount val="6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</c:numCache>
            </c:numRef>
          </c:xVal>
          <c:yVal>
            <c:numRef>
              <c:f>'orange cpower1liter'!$O$7:$O$70</c:f>
              <c:numCache>
                <c:formatCode>General</c:formatCode>
                <c:ptCount val="64"/>
                <c:pt idx="0">
                  <c:v>11.09902013046594</c:v>
                </c:pt>
                <c:pt idx="1">
                  <c:v>11.09902013046594</c:v>
                </c:pt>
                <c:pt idx="2">
                  <c:v>11.09902013046594</c:v>
                </c:pt>
                <c:pt idx="3">
                  <c:v>11.09902013046594</c:v>
                </c:pt>
                <c:pt idx="4">
                  <c:v>11.09902013046594</c:v>
                </c:pt>
                <c:pt idx="5">
                  <c:v>11.09902013046594</c:v>
                </c:pt>
                <c:pt idx="6">
                  <c:v>11.09902013046594</c:v>
                </c:pt>
                <c:pt idx="7">
                  <c:v>11.09902013046594</c:v>
                </c:pt>
                <c:pt idx="8">
                  <c:v>11.09902013046594</c:v>
                </c:pt>
                <c:pt idx="9">
                  <c:v>11.09902013046594</c:v>
                </c:pt>
                <c:pt idx="10">
                  <c:v>11.09902013046594</c:v>
                </c:pt>
                <c:pt idx="11">
                  <c:v>11.09902013046594</c:v>
                </c:pt>
                <c:pt idx="12">
                  <c:v>11.09902013046594</c:v>
                </c:pt>
                <c:pt idx="13">
                  <c:v>11.09902013046594</c:v>
                </c:pt>
                <c:pt idx="14">
                  <c:v>11.09902013046594</c:v>
                </c:pt>
                <c:pt idx="15">
                  <c:v>11.09902013046594</c:v>
                </c:pt>
                <c:pt idx="16">
                  <c:v>11.09902013046594</c:v>
                </c:pt>
                <c:pt idx="17">
                  <c:v>11.09902013046594</c:v>
                </c:pt>
                <c:pt idx="18">
                  <c:v>11.09902013046594</c:v>
                </c:pt>
                <c:pt idx="19">
                  <c:v>11.09902013046594</c:v>
                </c:pt>
                <c:pt idx="20">
                  <c:v>11.09902013046594</c:v>
                </c:pt>
                <c:pt idx="21">
                  <c:v>11.09902013046594</c:v>
                </c:pt>
                <c:pt idx="22">
                  <c:v>11.09902013046594</c:v>
                </c:pt>
                <c:pt idx="23">
                  <c:v>11.09902013046594</c:v>
                </c:pt>
                <c:pt idx="24">
                  <c:v>11.09902013046594</c:v>
                </c:pt>
                <c:pt idx="25">
                  <c:v>11.09902013046594</c:v>
                </c:pt>
                <c:pt idx="26">
                  <c:v>11.09902013046594</c:v>
                </c:pt>
                <c:pt idx="27">
                  <c:v>11.09902013046594</c:v>
                </c:pt>
                <c:pt idx="28">
                  <c:v>11.09902013046594</c:v>
                </c:pt>
                <c:pt idx="29">
                  <c:v>11.09902013046594</c:v>
                </c:pt>
                <c:pt idx="30">
                  <c:v>11.09902013046594</c:v>
                </c:pt>
                <c:pt idx="31">
                  <c:v>11.09902013046594</c:v>
                </c:pt>
                <c:pt idx="32">
                  <c:v>11.09902013046594</c:v>
                </c:pt>
                <c:pt idx="33">
                  <c:v>11.09902013046594</c:v>
                </c:pt>
                <c:pt idx="34">
                  <c:v>11.09902013046594</c:v>
                </c:pt>
                <c:pt idx="35">
                  <c:v>11.09902013046594</c:v>
                </c:pt>
                <c:pt idx="36">
                  <c:v>11.09902013046594</c:v>
                </c:pt>
                <c:pt idx="37">
                  <c:v>11.09902013046594</c:v>
                </c:pt>
                <c:pt idx="38">
                  <c:v>11.09902013046594</c:v>
                </c:pt>
                <c:pt idx="39">
                  <c:v>11.09902013046594</c:v>
                </c:pt>
                <c:pt idx="40">
                  <c:v>11.09902013046594</c:v>
                </c:pt>
                <c:pt idx="41">
                  <c:v>11.09902013046594</c:v>
                </c:pt>
                <c:pt idx="42">
                  <c:v>11.09902013046594</c:v>
                </c:pt>
                <c:pt idx="43">
                  <c:v>11.09902013046594</c:v>
                </c:pt>
                <c:pt idx="44">
                  <c:v>11.09902013046594</c:v>
                </c:pt>
                <c:pt idx="45">
                  <c:v>11.09902013046594</c:v>
                </c:pt>
                <c:pt idx="46">
                  <c:v>11.09902013046594</c:v>
                </c:pt>
                <c:pt idx="47">
                  <c:v>11.09902013046594</c:v>
                </c:pt>
                <c:pt idx="48">
                  <c:v>11.09902013046594</c:v>
                </c:pt>
                <c:pt idx="49">
                  <c:v>11.09902013046594</c:v>
                </c:pt>
                <c:pt idx="50">
                  <c:v>11.09902013046594</c:v>
                </c:pt>
                <c:pt idx="51">
                  <c:v>11.09902013046594</c:v>
                </c:pt>
                <c:pt idx="52">
                  <c:v>11.09902013046594</c:v>
                </c:pt>
                <c:pt idx="53">
                  <c:v>11.09902013046594</c:v>
                </c:pt>
                <c:pt idx="54">
                  <c:v>11.09902013046594</c:v>
                </c:pt>
                <c:pt idx="55">
                  <c:v>11.09902013046594</c:v>
                </c:pt>
                <c:pt idx="56">
                  <c:v>11.09902013046594</c:v>
                </c:pt>
                <c:pt idx="57">
                  <c:v>11.09902013046594</c:v>
                </c:pt>
                <c:pt idx="58">
                  <c:v>11.09902013046594</c:v>
                </c:pt>
                <c:pt idx="59">
                  <c:v>11.09902013046594</c:v>
                </c:pt>
                <c:pt idx="60">
                  <c:v>11.09902013046594</c:v>
                </c:pt>
                <c:pt idx="61">
                  <c:v>11.09902013046594</c:v>
                </c:pt>
                <c:pt idx="62">
                  <c:v>11.09902013046594</c:v>
                </c:pt>
                <c:pt idx="63">
                  <c:v>11.09902013046594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F4-4857-98EF-306DAAD79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075504"/>
        <c:axId val="429078128"/>
        <c:extLst/>
      </c:scatterChart>
      <c:valAx>
        <c:axId val="429075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9078128"/>
        <c:crosses val="autoZero"/>
        <c:crossBetween val="midCat"/>
      </c:valAx>
      <c:valAx>
        <c:axId val="42907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9075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orange pet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7024683463955753E-2"/>
          <c:y val="0.1108362172786877"/>
          <c:w val="0.90832787948554627"/>
          <c:h val="0.82657635024721909"/>
        </c:manualLayout>
      </c:layout>
      <c:scatterChart>
        <c:scatterStyle val="lineMarker"/>
        <c:varyColors val="0"/>
        <c:ser>
          <c:idx val="0"/>
          <c:order val="0"/>
          <c:tx>
            <c:strRef>
              <c:f>orpet!$E$6</c:f>
              <c:strCache>
                <c:ptCount val="1"/>
                <c:pt idx="0">
                  <c:v>Y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strRef>
              <c:f>orpet!$D$6:$D$110</c:f>
              <c:strCache>
                <c:ptCount val="105"/>
                <c:pt idx="0">
                  <c:v>period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</c:strCache>
            </c:strRef>
          </c:xVal>
          <c:yVal>
            <c:numRef>
              <c:f>orpet!$E$7:$E$110</c:f>
              <c:numCache>
                <c:formatCode>General</c:formatCode>
                <c:ptCount val="104"/>
                <c:pt idx="0">
                  <c:v>184.43360000000001</c:v>
                </c:pt>
                <c:pt idx="1">
                  <c:v>76.693280000000001</c:v>
                </c:pt>
                <c:pt idx="2">
                  <c:v>165.47471999999999</c:v>
                </c:pt>
                <c:pt idx="3">
                  <c:v>37.737354000000003</c:v>
                </c:pt>
                <c:pt idx="4">
                  <c:v>92.602779999999996</c:v>
                </c:pt>
                <c:pt idx="5">
                  <c:v>107.47412</c:v>
                </c:pt>
                <c:pt idx="6">
                  <c:v>70.168589999999995</c:v>
                </c:pt>
                <c:pt idx="7">
                  <c:v>166.77610999999999</c:v>
                </c:pt>
                <c:pt idx="8">
                  <c:v>159.91127</c:v>
                </c:pt>
                <c:pt idx="9">
                  <c:v>257.3913</c:v>
                </c:pt>
                <c:pt idx="10">
                  <c:v>76.521736000000004</c:v>
                </c:pt>
                <c:pt idx="11">
                  <c:v>53.913043999999999</c:v>
                </c:pt>
                <c:pt idx="12">
                  <c:v>110.43478399999999</c:v>
                </c:pt>
                <c:pt idx="13">
                  <c:v>84.347824000000003</c:v>
                </c:pt>
                <c:pt idx="14">
                  <c:v>79.130430000000004</c:v>
                </c:pt>
                <c:pt idx="15">
                  <c:v>180.86957000000001</c:v>
                </c:pt>
                <c:pt idx="16">
                  <c:v>80</c:v>
                </c:pt>
                <c:pt idx="17">
                  <c:v>158.26086000000001</c:v>
                </c:pt>
                <c:pt idx="18">
                  <c:v>103.478264</c:v>
                </c:pt>
                <c:pt idx="19">
                  <c:v>67.826089999999994</c:v>
                </c:pt>
                <c:pt idx="20">
                  <c:v>92.441863999999995</c:v>
                </c:pt>
                <c:pt idx="21">
                  <c:v>122.96512</c:v>
                </c:pt>
                <c:pt idx="22">
                  <c:v>121.22093</c:v>
                </c:pt>
                <c:pt idx="23">
                  <c:v>86.337209999999999</c:v>
                </c:pt>
                <c:pt idx="24">
                  <c:v>82.848839999999996</c:v>
                </c:pt>
                <c:pt idx="25">
                  <c:v>164.82558</c:v>
                </c:pt>
                <c:pt idx="26">
                  <c:v>183</c:v>
                </c:pt>
                <c:pt idx="27">
                  <c:v>81</c:v>
                </c:pt>
                <c:pt idx="28">
                  <c:v>160</c:v>
                </c:pt>
                <c:pt idx="29">
                  <c:v>42</c:v>
                </c:pt>
                <c:pt idx="30">
                  <c:v>87</c:v>
                </c:pt>
                <c:pt idx="31">
                  <c:v>109</c:v>
                </c:pt>
                <c:pt idx="32">
                  <c:v>78</c:v>
                </c:pt>
                <c:pt idx="33">
                  <c:v>166</c:v>
                </c:pt>
                <c:pt idx="34">
                  <c:v>158</c:v>
                </c:pt>
                <c:pt idx="35">
                  <c:v>255</c:v>
                </c:pt>
                <c:pt idx="36">
                  <c:v>83</c:v>
                </c:pt>
                <c:pt idx="37">
                  <c:v>54</c:v>
                </c:pt>
                <c:pt idx="38">
                  <c:v>104</c:v>
                </c:pt>
                <c:pt idx="39">
                  <c:v>79</c:v>
                </c:pt>
                <c:pt idx="40">
                  <c:v>75</c:v>
                </c:pt>
                <c:pt idx="41">
                  <c:v>173</c:v>
                </c:pt>
                <c:pt idx="42">
                  <c:v>73</c:v>
                </c:pt>
                <c:pt idx="43">
                  <c:v>152</c:v>
                </c:pt>
                <c:pt idx="44">
                  <c:v>90</c:v>
                </c:pt>
                <c:pt idx="45">
                  <c:v>63</c:v>
                </c:pt>
                <c:pt idx="46">
                  <c:v>103</c:v>
                </c:pt>
                <c:pt idx="47">
                  <c:v>134</c:v>
                </c:pt>
                <c:pt idx="48">
                  <c:v>131</c:v>
                </c:pt>
                <c:pt idx="49">
                  <c:v>95</c:v>
                </c:pt>
                <c:pt idx="50">
                  <c:v>95</c:v>
                </c:pt>
                <c:pt idx="51">
                  <c:v>172</c:v>
                </c:pt>
                <c:pt idx="52">
                  <c:v>148</c:v>
                </c:pt>
                <c:pt idx="53">
                  <c:v>90</c:v>
                </c:pt>
                <c:pt idx="54">
                  <c:v>74</c:v>
                </c:pt>
                <c:pt idx="55">
                  <c:v>43</c:v>
                </c:pt>
                <c:pt idx="56">
                  <c:v>194</c:v>
                </c:pt>
                <c:pt idx="57">
                  <c:v>93</c:v>
                </c:pt>
                <c:pt idx="58">
                  <c:v>116</c:v>
                </c:pt>
                <c:pt idx="59">
                  <c:v>188</c:v>
                </c:pt>
                <c:pt idx="60">
                  <c:v>130</c:v>
                </c:pt>
                <c:pt idx="61">
                  <c:v>125</c:v>
                </c:pt>
                <c:pt idx="62">
                  <c:v>68</c:v>
                </c:pt>
                <c:pt idx="63">
                  <c:v>207</c:v>
                </c:pt>
                <c:pt idx="64">
                  <c:v>67</c:v>
                </c:pt>
                <c:pt idx="65">
                  <c:v>152</c:v>
                </c:pt>
                <c:pt idx="66">
                  <c:v>54</c:v>
                </c:pt>
                <c:pt idx="67">
                  <c:v>141</c:v>
                </c:pt>
                <c:pt idx="68">
                  <c:v>103</c:v>
                </c:pt>
                <c:pt idx="69">
                  <c:v>190</c:v>
                </c:pt>
                <c:pt idx="70">
                  <c:v>101</c:v>
                </c:pt>
                <c:pt idx="71">
                  <c:v>78</c:v>
                </c:pt>
                <c:pt idx="72">
                  <c:v>223</c:v>
                </c:pt>
                <c:pt idx="73">
                  <c:v>74</c:v>
                </c:pt>
                <c:pt idx="74">
                  <c:v>138</c:v>
                </c:pt>
                <c:pt idx="75">
                  <c:v>57</c:v>
                </c:pt>
                <c:pt idx="76">
                  <c:v>87</c:v>
                </c:pt>
                <c:pt idx="77">
                  <c:v>67</c:v>
                </c:pt>
                <c:pt idx="78">
                  <c:v>148</c:v>
                </c:pt>
                <c:pt idx="79">
                  <c:v>90</c:v>
                </c:pt>
                <c:pt idx="80">
                  <c:v>74</c:v>
                </c:pt>
                <c:pt idx="81">
                  <c:v>43</c:v>
                </c:pt>
                <c:pt idx="82">
                  <c:v>194</c:v>
                </c:pt>
                <c:pt idx="83">
                  <c:v>93</c:v>
                </c:pt>
                <c:pt idx="84">
                  <c:v>116</c:v>
                </c:pt>
                <c:pt idx="85">
                  <c:v>188</c:v>
                </c:pt>
                <c:pt idx="86">
                  <c:v>130</c:v>
                </c:pt>
                <c:pt idx="87">
                  <c:v>125</c:v>
                </c:pt>
                <c:pt idx="88">
                  <c:v>68</c:v>
                </c:pt>
                <c:pt idx="89">
                  <c:v>207</c:v>
                </c:pt>
                <c:pt idx="90">
                  <c:v>67</c:v>
                </c:pt>
                <c:pt idx="91">
                  <c:v>152</c:v>
                </c:pt>
                <c:pt idx="92">
                  <c:v>54</c:v>
                </c:pt>
                <c:pt idx="93">
                  <c:v>141</c:v>
                </c:pt>
                <c:pt idx="94">
                  <c:v>103</c:v>
                </c:pt>
                <c:pt idx="95">
                  <c:v>190</c:v>
                </c:pt>
                <c:pt idx="96">
                  <c:v>101</c:v>
                </c:pt>
                <c:pt idx="97">
                  <c:v>78</c:v>
                </c:pt>
                <c:pt idx="98">
                  <c:v>223</c:v>
                </c:pt>
                <c:pt idx="99">
                  <c:v>74</c:v>
                </c:pt>
                <c:pt idx="100">
                  <c:v>138</c:v>
                </c:pt>
                <c:pt idx="101">
                  <c:v>57</c:v>
                </c:pt>
                <c:pt idx="102">
                  <c:v>87</c:v>
                </c:pt>
                <c:pt idx="103">
                  <c:v>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E1-47A3-B864-C69E49B1400E}"/>
            </c:ext>
          </c:extLst>
        </c:ser>
        <c:ser>
          <c:idx val="1"/>
          <c:order val="1"/>
          <c:tx>
            <c:strRef>
              <c:f>orpet!$I$6</c:f>
              <c:strCache>
                <c:ptCount val="1"/>
                <c:pt idx="0">
                  <c:v>forcast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orpet!$D$7:$D$110</c:f>
              <c:numCache>
                <c:formatCode>General</c:formatCode>
                <c:ptCount val="1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</c:numCache>
            </c:numRef>
          </c:xVal>
          <c:yVal>
            <c:numRef>
              <c:f>orpet!$I$7:$I$110</c:f>
              <c:numCache>
                <c:formatCode>General</c:formatCode>
                <c:ptCount val="104"/>
                <c:pt idx="15">
                  <c:v>181.18138840596336</c:v>
                </c:pt>
                <c:pt idx="16">
                  <c:v>80.139699540122564</c:v>
                </c:pt>
                <c:pt idx="17">
                  <c:v>158.53072225679372</c:v>
                </c:pt>
                <c:pt idx="18">
                  <c:v>103.68482414128835</c:v>
                </c:pt>
                <c:pt idx="19">
                  <c:v>67.931019761544746</c:v>
                </c:pt>
                <c:pt idx="20">
                  <c:v>92.592942526664871</c:v>
                </c:pt>
                <c:pt idx="21">
                  <c:v>123.19840851396917</c:v>
                </c:pt>
                <c:pt idx="22">
                  <c:v>121.40579125861267</c:v>
                </c:pt>
                <c:pt idx="23">
                  <c:v>86.449688627012804</c:v>
                </c:pt>
                <c:pt idx="24">
                  <c:v>82.908615309143741</c:v>
                </c:pt>
                <c:pt idx="25">
                  <c:v>165.14529172903752</c:v>
                </c:pt>
                <c:pt idx="26">
                  <c:v>183.36881010636884</c:v>
                </c:pt>
                <c:pt idx="27">
                  <c:v>81.120876789225946</c:v>
                </c:pt>
                <c:pt idx="28">
                  <c:v>160.30350417837766</c:v>
                </c:pt>
                <c:pt idx="29">
                  <c:v>42.05126391369874</c:v>
                </c:pt>
                <c:pt idx="30">
                  <c:v>87.095765591551881</c:v>
                </c:pt>
                <c:pt idx="31">
                  <c:v>109.19659621493022</c:v>
                </c:pt>
                <c:pt idx="32">
                  <c:v>78.084700205005973</c:v>
                </c:pt>
                <c:pt idx="33">
                  <c:v>166.3385219470515</c:v>
                </c:pt>
                <c:pt idx="34">
                  <c:v>158.29181715170083</c:v>
                </c:pt>
                <c:pt idx="35">
                  <c:v>255.49223412922382</c:v>
                </c:pt>
                <c:pt idx="36">
                  <c:v>83.140852143948251</c:v>
                </c:pt>
                <c:pt idx="37">
                  <c:v>54.025444273804474</c:v>
                </c:pt>
                <c:pt idx="38">
                  <c:v>104.13683191602355</c:v>
                </c:pt>
                <c:pt idx="39">
                  <c:v>79.029361577929308</c:v>
                </c:pt>
                <c:pt idx="40">
                  <c:v>75.119670158208251</c:v>
                </c:pt>
                <c:pt idx="41">
                  <c:v>173.34295351550122</c:v>
                </c:pt>
                <c:pt idx="42">
                  <c:v>73.094916760499132</c:v>
                </c:pt>
                <c:pt idx="43">
                  <c:v>152.27964860757896</c:v>
                </c:pt>
                <c:pt idx="44">
                  <c:v>90.14848996804632</c:v>
                </c:pt>
                <c:pt idx="45">
                  <c:v>63.029210871672191</c:v>
                </c:pt>
                <c:pt idx="46">
                  <c:v>103.17755308521654</c:v>
                </c:pt>
                <c:pt idx="47">
                  <c:v>134.19220961367679</c:v>
                </c:pt>
                <c:pt idx="48">
                  <c:v>131.260088532661</c:v>
                </c:pt>
                <c:pt idx="49">
                  <c:v>95.149061442960246</c:v>
                </c:pt>
                <c:pt idx="50">
                  <c:v>95.139764971140337</c:v>
                </c:pt>
                <c:pt idx="51">
                  <c:v>172.32794126262127</c:v>
                </c:pt>
                <c:pt idx="52">
                  <c:v>148.21598969592364</c:v>
                </c:pt>
                <c:pt idx="53">
                  <c:v>90.094843423234735</c:v>
                </c:pt>
                <c:pt idx="54">
                  <c:v>73.999691622035925</c:v>
                </c:pt>
                <c:pt idx="55">
                  <c:v>43.045142410166541</c:v>
                </c:pt>
                <c:pt idx="56">
                  <c:v>194.38435511562028</c:v>
                </c:pt>
                <c:pt idx="57">
                  <c:v>93.129963968174451</c:v>
                </c:pt>
                <c:pt idx="58">
                  <c:v>116.19591193158254</c:v>
                </c:pt>
                <c:pt idx="59">
                  <c:v>188.35394087500339</c:v>
                </c:pt>
                <c:pt idx="60">
                  <c:v>130.15935025068015</c:v>
                </c:pt>
                <c:pt idx="61">
                  <c:v>125.21892863417766</c:v>
                </c:pt>
                <c:pt idx="62">
                  <c:v>68.036881341124669</c:v>
                </c:pt>
                <c:pt idx="63">
                  <c:v>207.42086618447871</c:v>
                </c:pt>
                <c:pt idx="64">
                  <c:v>67.080719844231112</c:v>
                </c:pt>
                <c:pt idx="65">
                  <c:v>152.25339426208248</c:v>
                </c:pt>
                <c:pt idx="66">
                  <c:v>54.067637181143184</c:v>
                </c:pt>
                <c:pt idx="67">
                  <c:v>141.18766825544515</c:v>
                </c:pt>
                <c:pt idx="68">
                  <c:v>103.11020550071223</c:v>
                </c:pt>
                <c:pt idx="69">
                  <c:v>190.22915679905233</c:v>
                </c:pt>
                <c:pt idx="70">
                  <c:v>101.16386282968415</c:v>
                </c:pt>
                <c:pt idx="71">
                  <c:v>78.129935416584388</c:v>
                </c:pt>
                <c:pt idx="72">
                  <c:v>223.4017727878732</c:v>
                </c:pt>
                <c:pt idx="73">
                  <c:v>74.098725956878397</c:v>
                </c:pt>
                <c:pt idx="74">
                  <c:v>138.24013488944837</c:v>
                </c:pt>
                <c:pt idx="75">
                  <c:v>56.988447828164091</c:v>
                </c:pt>
                <c:pt idx="76">
                  <c:v>87.131549318286247</c:v>
                </c:pt>
                <c:pt idx="77">
                  <c:v>67.023207187221246</c:v>
                </c:pt>
                <c:pt idx="78">
                  <c:v>148.29115997546501</c:v>
                </c:pt>
                <c:pt idx="79">
                  <c:v>90.124516889516727</c:v>
                </c:pt>
                <c:pt idx="80">
                  <c:v>74.078605761276833</c:v>
                </c:pt>
                <c:pt idx="81">
                  <c:v>43.039764485286717</c:v>
                </c:pt>
                <c:pt idx="82">
                  <c:v>194.29204065453362</c:v>
                </c:pt>
                <c:pt idx="83">
                  <c:v>93.079063610069852</c:v>
                </c:pt>
                <c:pt idx="84">
                  <c:v>116.05441397831639</c:v>
                </c:pt>
                <c:pt idx="85">
                  <c:v>188.34680959946698</c:v>
                </c:pt>
                <c:pt idx="86">
                  <c:v>130.23852973274037</c:v>
                </c:pt>
                <c:pt idx="87">
                  <c:v>125.18321015724649</c:v>
                </c:pt>
                <c:pt idx="88">
                  <c:v>68.080455260812855</c:v>
                </c:pt>
                <c:pt idx="89">
                  <c:v>207.38378145204297</c:v>
                </c:pt>
                <c:pt idx="90">
                  <c:v>66.997661593814385</c:v>
                </c:pt>
                <c:pt idx="91">
                  <c:v>152.2664251159855</c:v>
                </c:pt>
                <c:pt idx="92">
                  <c:v>53.983501502564103</c:v>
                </c:pt>
                <c:pt idx="93">
                  <c:v>141.27343241593337</c:v>
                </c:pt>
                <c:pt idx="94">
                  <c:v>103.14611074496726</c:v>
                </c:pt>
                <c:pt idx="95">
                  <c:v>190.32097801065794</c:v>
                </c:pt>
                <c:pt idx="96">
                  <c:v>101.15946444855342</c:v>
                </c:pt>
                <c:pt idx="97">
                  <c:v>78.029129690216919</c:v>
                </c:pt>
                <c:pt idx="98">
                  <c:v>223.34711543696224</c:v>
                </c:pt>
                <c:pt idx="99">
                  <c:v>73.94375409822554</c:v>
                </c:pt>
                <c:pt idx="100">
                  <c:v>138.23317766610512</c:v>
                </c:pt>
                <c:pt idx="101">
                  <c:v>57.07728105741522</c:v>
                </c:pt>
                <c:pt idx="102">
                  <c:v>87.093861822709101</c:v>
                </c:pt>
                <c:pt idx="103">
                  <c:v>67.072722563197772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9E1-47A3-B864-C69E49B1400E}"/>
            </c:ext>
          </c:extLst>
        </c:ser>
        <c:ser>
          <c:idx val="2"/>
          <c:order val="2"/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strRef>
              <c:f>orpet!$D$6:$D$70</c:f>
              <c:strCache>
                <c:ptCount val="65"/>
                <c:pt idx="0">
                  <c:v>period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</c:strCache>
            </c:strRef>
          </c:xVal>
          <c:yVal>
            <c:numRef>
              <c:f>orpet!$M$6:$M$70</c:f>
              <c:numCache>
                <c:formatCode>General</c:formatCode>
                <c:ptCount val="65"/>
                <c:pt idx="1">
                  <c:v>114.86739613333332</c:v>
                </c:pt>
                <c:pt idx="2">
                  <c:v>114.62979413333332</c:v>
                </c:pt>
                <c:pt idx="3">
                  <c:v>114.85024213333331</c:v>
                </c:pt>
                <c:pt idx="4">
                  <c:v>114.36931813333334</c:v>
                </c:pt>
                <c:pt idx="5">
                  <c:v>118.75204546666669</c:v>
                </c:pt>
                <c:pt idx="6">
                  <c:v>117.10026613333335</c:v>
                </c:pt>
                <c:pt idx="7">
                  <c:v>116.09811573333334</c:v>
                </c:pt>
                <c:pt idx="8">
                  <c:v>119.61788440000002</c:v>
                </c:pt>
                <c:pt idx="9">
                  <c:v>116.58087240000002</c:v>
                </c:pt>
                <c:pt idx="10">
                  <c:v>111.67593506666667</c:v>
                </c:pt>
                <c:pt idx="11">
                  <c:v>100.03977106666665</c:v>
                </c:pt>
                <c:pt idx="12">
                  <c:v>105.926694</c:v>
                </c:pt>
                <c:pt idx="13">
                  <c:v>114.53249106666664</c:v>
                </c:pt>
                <c:pt idx="14">
                  <c:v>112.57017213333333</c:v>
                </c:pt>
                <c:pt idx="15">
                  <c:v>117.61365053333331</c:v>
                </c:pt>
                <c:pt idx="16">
                  <c:v>115.13828853333332</c:v>
                </c:pt>
                <c:pt idx="17">
                  <c:v>108.88031719999999</c:v>
                </c:pt>
                <c:pt idx="18">
                  <c:v>110.81365053333333</c:v>
                </c:pt>
                <c:pt idx="19">
                  <c:v>105.46292653333333</c:v>
                </c:pt>
                <c:pt idx="20">
                  <c:v>109.63104226666665</c:v>
                </c:pt>
                <c:pt idx="21">
                  <c:v>115.64263626666666</c:v>
                </c:pt>
                <c:pt idx="22">
                  <c:v>126.47984533333333</c:v>
                </c:pt>
                <c:pt idx="23">
                  <c:v>123.81550399999999</c:v>
                </c:pt>
                <c:pt idx="24">
                  <c:v>119.33410866666667</c:v>
                </c:pt>
                <c:pt idx="25">
                  <c:v>120.511628</c:v>
                </c:pt>
                <c:pt idx="26">
                  <c:v>120.25503866666666</c:v>
                </c:pt>
                <c:pt idx="27">
                  <c:v>114.26666666666667</c:v>
                </c:pt>
                <c:pt idx="28">
                  <c:v>113.6</c:v>
                </c:pt>
                <c:pt idx="29">
                  <c:v>113.06666666666666</c:v>
                </c:pt>
                <c:pt idx="30">
                  <c:v>112.53333333333333</c:v>
                </c:pt>
                <c:pt idx="31">
                  <c:v>115.73333333333333</c:v>
                </c:pt>
                <c:pt idx="32">
                  <c:v>114.13333333333334</c:v>
                </c:pt>
                <c:pt idx="33">
                  <c:v>113.73333333333333</c:v>
                </c:pt>
                <c:pt idx="34">
                  <c:v>117.46666666666667</c:v>
                </c:pt>
                <c:pt idx="35">
                  <c:v>115.13333333333334</c:v>
                </c:pt>
                <c:pt idx="36">
                  <c:v>110.93333333333334</c:v>
                </c:pt>
                <c:pt idx="37">
                  <c:v>100.26666666666667</c:v>
                </c:pt>
                <c:pt idx="38">
                  <c:v>106.2</c:v>
                </c:pt>
                <c:pt idx="39">
                  <c:v>112.46666666666667</c:v>
                </c:pt>
                <c:pt idx="40">
                  <c:v>111.53333333333333</c:v>
                </c:pt>
                <c:pt idx="41">
                  <c:v>111.2</c:v>
                </c:pt>
                <c:pt idx="42">
                  <c:v>109.06666666666666</c:v>
                </c:pt>
                <c:pt idx="43">
                  <c:v>110.46666666666667</c:v>
                </c:pt>
                <c:pt idx="44">
                  <c:v>111.8</c:v>
                </c:pt>
                <c:pt idx="45">
                  <c:v>109.4</c:v>
                </c:pt>
                <c:pt idx="46">
                  <c:v>115.93333333333334</c:v>
                </c:pt>
                <c:pt idx="47">
                  <c:v>120.4</c:v>
                </c:pt>
                <c:pt idx="48">
                  <c:v>121.86666666666666</c:v>
                </c:pt>
                <c:pt idx="49">
                  <c:v>117.46666666666667</c:v>
                </c:pt>
                <c:pt idx="50">
                  <c:v>122.53333333333333</c:v>
                </c:pt>
                <c:pt idx="51">
                  <c:v>120.66666666666667</c:v>
                </c:pt>
                <c:pt idx="52">
                  <c:v>124.46666666666667</c:v>
                </c:pt>
                <c:pt idx="53">
                  <c:v>116.6</c:v>
                </c:pt>
                <c:pt idx="54">
                  <c:v>116.13333333333334</c:v>
                </c:pt>
                <c:pt idx="55">
                  <c:v>117</c:v>
                </c:pt>
                <c:pt idx="56">
                  <c:v>124.73333333333333</c:v>
                </c:pt>
                <c:pt idx="57">
                  <c:v>128.6</c:v>
                </c:pt>
                <c:pt idx="58">
                  <c:v>120.86666666666666</c:v>
                </c:pt>
                <c:pt idx="59">
                  <c:v>129.53333333333333</c:v>
                </c:pt>
                <c:pt idx="60">
                  <c:v>126.73333333333333</c:v>
                </c:pt>
                <c:pt idx="61">
                  <c:v>123.4</c:v>
                </c:pt>
                <c:pt idx="62">
                  <c:v>118.53333333333333</c:v>
                </c:pt>
                <c:pt idx="63">
                  <c:v>116</c:v>
                </c:pt>
                <c:pt idx="64">
                  <c:v>115.93333333333334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E1-47A3-B864-C69E49B1400E}"/>
            </c:ext>
          </c:extLst>
        </c:ser>
        <c:ser>
          <c:idx val="3"/>
          <c:order val="3"/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orpet!$D$7:$D$70</c:f>
              <c:numCache>
                <c:formatCode>General</c:formatCode>
                <c:ptCount val="6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</c:numCache>
            </c:numRef>
          </c:xVal>
          <c:yVal>
            <c:numRef>
              <c:f>orpet!$O$7:$O$70</c:f>
              <c:numCache>
                <c:formatCode>General</c:formatCode>
                <c:ptCount val="64"/>
                <c:pt idx="0">
                  <c:v>113.45657513567107</c:v>
                </c:pt>
                <c:pt idx="1">
                  <c:v>113.55273703649058</c:v>
                </c:pt>
                <c:pt idx="2">
                  <c:v>113.64889893731009</c:v>
                </c:pt>
                <c:pt idx="3">
                  <c:v>113.7450608381296</c:v>
                </c:pt>
                <c:pt idx="4">
                  <c:v>113.84122273894911</c:v>
                </c:pt>
                <c:pt idx="5">
                  <c:v>113.93738463976862</c:v>
                </c:pt>
                <c:pt idx="6">
                  <c:v>114.03354654058813</c:v>
                </c:pt>
                <c:pt idx="7">
                  <c:v>114.12970844140764</c:v>
                </c:pt>
                <c:pt idx="8">
                  <c:v>114.22587034222715</c:v>
                </c:pt>
                <c:pt idx="9">
                  <c:v>114.32203224304666</c:v>
                </c:pt>
                <c:pt idx="10">
                  <c:v>114.41819414386617</c:v>
                </c:pt>
                <c:pt idx="11">
                  <c:v>114.5143560446857</c:v>
                </c:pt>
                <c:pt idx="12">
                  <c:v>114.61051794550521</c:v>
                </c:pt>
                <c:pt idx="13">
                  <c:v>114.70667984632472</c:v>
                </c:pt>
                <c:pt idx="14">
                  <c:v>114.80284174714423</c:v>
                </c:pt>
                <c:pt idx="15">
                  <c:v>114.89900364796374</c:v>
                </c:pt>
                <c:pt idx="16">
                  <c:v>114.99516554878325</c:v>
                </c:pt>
                <c:pt idx="17">
                  <c:v>115.09132744960276</c:v>
                </c:pt>
                <c:pt idx="18">
                  <c:v>115.18748935042227</c:v>
                </c:pt>
                <c:pt idx="19">
                  <c:v>115.28365125124178</c:v>
                </c:pt>
                <c:pt idx="20">
                  <c:v>115.37981315206129</c:v>
                </c:pt>
                <c:pt idx="21">
                  <c:v>115.4759750528808</c:v>
                </c:pt>
                <c:pt idx="22">
                  <c:v>115.57213695370031</c:v>
                </c:pt>
                <c:pt idx="23">
                  <c:v>115.66829885451982</c:v>
                </c:pt>
                <c:pt idx="24">
                  <c:v>115.76446075533933</c:v>
                </c:pt>
                <c:pt idx="25">
                  <c:v>115.86062265615884</c:v>
                </c:pt>
                <c:pt idx="26">
                  <c:v>115.95678455697835</c:v>
                </c:pt>
                <c:pt idx="27">
                  <c:v>116.05294645779786</c:v>
                </c:pt>
                <c:pt idx="28">
                  <c:v>116.14910835861737</c:v>
                </c:pt>
                <c:pt idx="29">
                  <c:v>116.24527025943688</c:v>
                </c:pt>
                <c:pt idx="30">
                  <c:v>116.34143216025639</c:v>
                </c:pt>
                <c:pt idx="31">
                  <c:v>116.4375940610759</c:v>
                </c:pt>
                <c:pt idx="32">
                  <c:v>116.53375596189542</c:v>
                </c:pt>
                <c:pt idx="33">
                  <c:v>116.62991786271493</c:v>
                </c:pt>
                <c:pt idx="34">
                  <c:v>116.72607976353444</c:v>
                </c:pt>
                <c:pt idx="35">
                  <c:v>116.82224166435395</c:v>
                </c:pt>
                <c:pt idx="36">
                  <c:v>116.91840356517346</c:v>
                </c:pt>
                <c:pt idx="37">
                  <c:v>117.01456546599297</c:v>
                </c:pt>
                <c:pt idx="38">
                  <c:v>117.11072736681248</c:v>
                </c:pt>
                <c:pt idx="39">
                  <c:v>117.20688926763199</c:v>
                </c:pt>
                <c:pt idx="40">
                  <c:v>117.3030511684515</c:v>
                </c:pt>
                <c:pt idx="41">
                  <c:v>117.39921306927101</c:v>
                </c:pt>
                <c:pt idx="42">
                  <c:v>117.49537497009052</c:v>
                </c:pt>
                <c:pt idx="43">
                  <c:v>117.59153687091003</c:v>
                </c:pt>
                <c:pt idx="44">
                  <c:v>117.68769877172954</c:v>
                </c:pt>
                <c:pt idx="45">
                  <c:v>117.78386067254905</c:v>
                </c:pt>
                <c:pt idx="46">
                  <c:v>117.88002257336856</c:v>
                </c:pt>
                <c:pt idx="47">
                  <c:v>117.97618447418807</c:v>
                </c:pt>
                <c:pt idx="48">
                  <c:v>118.07234637500758</c:v>
                </c:pt>
                <c:pt idx="49">
                  <c:v>118.16850827582709</c:v>
                </c:pt>
                <c:pt idx="50">
                  <c:v>118.2646701766466</c:v>
                </c:pt>
                <c:pt idx="51">
                  <c:v>118.36083207746611</c:v>
                </c:pt>
                <c:pt idx="52">
                  <c:v>118.45699397828562</c:v>
                </c:pt>
                <c:pt idx="53">
                  <c:v>118.55315587910513</c:v>
                </c:pt>
                <c:pt idx="54">
                  <c:v>118.64931777992464</c:v>
                </c:pt>
                <c:pt idx="55">
                  <c:v>118.74547968074417</c:v>
                </c:pt>
                <c:pt idx="56">
                  <c:v>118.84164158156368</c:v>
                </c:pt>
                <c:pt idx="57">
                  <c:v>118.93780348238319</c:v>
                </c:pt>
                <c:pt idx="58">
                  <c:v>119.0339653832027</c:v>
                </c:pt>
                <c:pt idx="59">
                  <c:v>119.13012728402221</c:v>
                </c:pt>
                <c:pt idx="60">
                  <c:v>119.22628918484172</c:v>
                </c:pt>
                <c:pt idx="61">
                  <c:v>119.32245108566123</c:v>
                </c:pt>
                <c:pt idx="62">
                  <c:v>119.41861298648074</c:v>
                </c:pt>
                <c:pt idx="63">
                  <c:v>119.51477488730025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E1-47A3-B864-C69E49B14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075504"/>
        <c:axId val="429078128"/>
        <c:extLst/>
      </c:scatterChart>
      <c:valAx>
        <c:axId val="429075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9078128"/>
        <c:crosses val="autoZero"/>
        <c:crossBetween val="midCat"/>
      </c:valAx>
      <c:valAx>
        <c:axId val="42907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9075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ormangopet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7024683463955753E-2"/>
          <c:y val="0.1108362172786877"/>
          <c:w val="0.90832787948554627"/>
          <c:h val="0.82657635024721909"/>
        </c:manualLayout>
      </c:layout>
      <c:scatterChart>
        <c:scatterStyle val="lineMarker"/>
        <c:varyColors val="0"/>
        <c:ser>
          <c:idx val="0"/>
          <c:order val="0"/>
          <c:tx>
            <c:strRef>
              <c:f>ormangopet!$E$6</c:f>
              <c:strCache>
                <c:ptCount val="1"/>
                <c:pt idx="0">
                  <c:v>Y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strRef>
              <c:f>ormangopet!$D$6:$D$110</c:f>
              <c:strCache>
                <c:ptCount val="105"/>
                <c:pt idx="0">
                  <c:v>period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</c:strCache>
            </c:strRef>
          </c:xVal>
          <c:yVal>
            <c:numRef>
              <c:f>ormangopet!$E$7:$E$110</c:f>
              <c:numCache>
                <c:formatCode>General</c:formatCode>
                <c:ptCount val="104"/>
                <c:pt idx="0">
                  <c:v>58.028984000000001</c:v>
                </c:pt>
                <c:pt idx="1">
                  <c:v>26.376812000000001</c:v>
                </c:pt>
                <c:pt idx="2">
                  <c:v>45.855072</c:v>
                </c:pt>
                <c:pt idx="3">
                  <c:v>41.391303999999998</c:v>
                </c:pt>
                <c:pt idx="4">
                  <c:v>69.797104000000004</c:v>
                </c:pt>
                <c:pt idx="5">
                  <c:v>85.623189999999994</c:v>
                </c:pt>
                <c:pt idx="6">
                  <c:v>87.246375999999998</c:v>
                </c:pt>
                <c:pt idx="7">
                  <c:v>34.086956000000001</c:v>
                </c:pt>
                <c:pt idx="8">
                  <c:v>38.956519999999998</c:v>
                </c:pt>
                <c:pt idx="9">
                  <c:v>51.942028000000001</c:v>
                </c:pt>
                <c:pt idx="10">
                  <c:v>116.39534999999999</c:v>
                </c:pt>
                <c:pt idx="11">
                  <c:v>40.697673999999999</c:v>
                </c:pt>
                <c:pt idx="12">
                  <c:v>45.174419999999998</c:v>
                </c:pt>
                <c:pt idx="13">
                  <c:v>25.232557</c:v>
                </c:pt>
                <c:pt idx="14">
                  <c:v>48.837207999999997</c:v>
                </c:pt>
                <c:pt idx="15">
                  <c:v>20.348837</c:v>
                </c:pt>
                <c:pt idx="16">
                  <c:v>31.337209999999999</c:v>
                </c:pt>
                <c:pt idx="17">
                  <c:v>127.790695</c:v>
                </c:pt>
                <c:pt idx="18">
                  <c:v>38.255814000000001</c:v>
                </c:pt>
                <c:pt idx="19">
                  <c:v>39.883719999999997</c:v>
                </c:pt>
                <c:pt idx="20">
                  <c:v>51.020409999999998</c:v>
                </c:pt>
                <c:pt idx="21">
                  <c:v>44.897959999999998</c:v>
                </c:pt>
                <c:pt idx="22">
                  <c:v>24.897959</c:v>
                </c:pt>
                <c:pt idx="23">
                  <c:v>71.836730000000003</c:v>
                </c:pt>
                <c:pt idx="24">
                  <c:v>53.469386999999998</c:v>
                </c:pt>
                <c:pt idx="25">
                  <c:v>34.285713000000001</c:v>
                </c:pt>
                <c:pt idx="26">
                  <c:v>113</c:v>
                </c:pt>
                <c:pt idx="27">
                  <c:v>30</c:v>
                </c:pt>
                <c:pt idx="28">
                  <c:v>94</c:v>
                </c:pt>
                <c:pt idx="29">
                  <c:v>24</c:v>
                </c:pt>
                <c:pt idx="30">
                  <c:v>26</c:v>
                </c:pt>
                <c:pt idx="31">
                  <c:v>54</c:v>
                </c:pt>
                <c:pt idx="32">
                  <c:v>55</c:v>
                </c:pt>
                <c:pt idx="33">
                  <c:v>34</c:v>
                </c:pt>
                <c:pt idx="34">
                  <c:v>80</c:v>
                </c:pt>
                <c:pt idx="35">
                  <c:v>87</c:v>
                </c:pt>
                <c:pt idx="36">
                  <c:v>31</c:v>
                </c:pt>
                <c:pt idx="37">
                  <c:v>23</c:v>
                </c:pt>
                <c:pt idx="38">
                  <c:v>8</c:v>
                </c:pt>
                <c:pt idx="39">
                  <c:v>94</c:v>
                </c:pt>
                <c:pt idx="40">
                  <c:v>33</c:v>
                </c:pt>
                <c:pt idx="41">
                  <c:v>48</c:v>
                </c:pt>
                <c:pt idx="42">
                  <c:v>102</c:v>
                </c:pt>
                <c:pt idx="43">
                  <c:v>45</c:v>
                </c:pt>
                <c:pt idx="44">
                  <c:v>20</c:v>
                </c:pt>
                <c:pt idx="45">
                  <c:v>35</c:v>
                </c:pt>
                <c:pt idx="46">
                  <c:v>41</c:v>
                </c:pt>
                <c:pt idx="47">
                  <c:v>22</c:v>
                </c:pt>
                <c:pt idx="48">
                  <c:v>63</c:v>
                </c:pt>
                <c:pt idx="49">
                  <c:v>40</c:v>
                </c:pt>
                <c:pt idx="50">
                  <c:v>105</c:v>
                </c:pt>
                <c:pt idx="51">
                  <c:v>30</c:v>
                </c:pt>
                <c:pt idx="52">
                  <c:v>85</c:v>
                </c:pt>
                <c:pt idx="53">
                  <c:v>34</c:v>
                </c:pt>
                <c:pt idx="54">
                  <c:v>40</c:v>
                </c:pt>
                <c:pt idx="55">
                  <c:v>51</c:v>
                </c:pt>
                <c:pt idx="56">
                  <c:v>115</c:v>
                </c:pt>
                <c:pt idx="57">
                  <c:v>42</c:v>
                </c:pt>
                <c:pt idx="58">
                  <c:v>43</c:v>
                </c:pt>
                <c:pt idx="59">
                  <c:v>25</c:v>
                </c:pt>
                <c:pt idx="60">
                  <c:v>48</c:v>
                </c:pt>
                <c:pt idx="61">
                  <c:v>23</c:v>
                </c:pt>
                <c:pt idx="62">
                  <c:v>33</c:v>
                </c:pt>
                <c:pt idx="63">
                  <c:v>124</c:v>
                </c:pt>
                <c:pt idx="64">
                  <c:v>39</c:v>
                </c:pt>
                <c:pt idx="65">
                  <c:v>42</c:v>
                </c:pt>
                <c:pt idx="66">
                  <c:v>52</c:v>
                </c:pt>
                <c:pt idx="67">
                  <c:v>46</c:v>
                </c:pt>
                <c:pt idx="68">
                  <c:v>28</c:v>
                </c:pt>
                <c:pt idx="69">
                  <c:v>72</c:v>
                </c:pt>
                <c:pt idx="70">
                  <c:v>52</c:v>
                </c:pt>
                <c:pt idx="71">
                  <c:v>38</c:v>
                </c:pt>
                <c:pt idx="72">
                  <c:v>80</c:v>
                </c:pt>
                <c:pt idx="73">
                  <c:v>83</c:v>
                </c:pt>
                <c:pt idx="74">
                  <c:v>67</c:v>
                </c:pt>
                <c:pt idx="75">
                  <c:v>4</c:v>
                </c:pt>
                <c:pt idx="76">
                  <c:v>92</c:v>
                </c:pt>
                <c:pt idx="77">
                  <c:v>123</c:v>
                </c:pt>
                <c:pt idx="78">
                  <c:v>85</c:v>
                </c:pt>
                <c:pt idx="79">
                  <c:v>34</c:v>
                </c:pt>
                <c:pt idx="80">
                  <c:v>40</c:v>
                </c:pt>
                <c:pt idx="81">
                  <c:v>51</c:v>
                </c:pt>
                <c:pt idx="82">
                  <c:v>115</c:v>
                </c:pt>
                <c:pt idx="83">
                  <c:v>42</c:v>
                </c:pt>
                <c:pt idx="84">
                  <c:v>43</c:v>
                </c:pt>
                <c:pt idx="85">
                  <c:v>25</c:v>
                </c:pt>
                <c:pt idx="86">
                  <c:v>48</c:v>
                </c:pt>
                <c:pt idx="87">
                  <c:v>23</c:v>
                </c:pt>
                <c:pt idx="88">
                  <c:v>33</c:v>
                </c:pt>
                <c:pt idx="89">
                  <c:v>124</c:v>
                </c:pt>
                <c:pt idx="90">
                  <c:v>39</c:v>
                </c:pt>
                <c:pt idx="91">
                  <c:v>42</c:v>
                </c:pt>
                <c:pt idx="92">
                  <c:v>52</c:v>
                </c:pt>
                <c:pt idx="93">
                  <c:v>46</c:v>
                </c:pt>
                <c:pt idx="94">
                  <c:v>28</c:v>
                </c:pt>
                <c:pt idx="95">
                  <c:v>72</c:v>
                </c:pt>
                <c:pt idx="96">
                  <c:v>52</c:v>
                </c:pt>
                <c:pt idx="97">
                  <c:v>38</c:v>
                </c:pt>
                <c:pt idx="98">
                  <c:v>80</c:v>
                </c:pt>
                <c:pt idx="99">
                  <c:v>83</c:v>
                </c:pt>
                <c:pt idx="100">
                  <c:v>67</c:v>
                </c:pt>
                <c:pt idx="101">
                  <c:v>4</c:v>
                </c:pt>
                <c:pt idx="102">
                  <c:v>92</c:v>
                </c:pt>
                <c:pt idx="103">
                  <c:v>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E2-444D-A406-BD1E061EDF79}"/>
            </c:ext>
          </c:extLst>
        </c:ser>
        <c:ser>
          <c:idx val="1"/>
          <c:order val="1"/>
          <c:tx>
            <c:strRef>
              <c:f>ormangopet!$I$6</c:f>
              <c:strCache>
                <c:ptCount val="1"/>
                <c:pt idx="0">
                  <c:v>forcast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ormangopet!$D$7:$D$110</c:f>
              <c:numCache>
                <c:formatCode>General</c:formatCode>
                <c:ptCount val="1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</c:numCache>
            </c:numRef>
          </c:xVal>
          <c:yVal>
            <c:numRef>
              <c:f>ormangopet!$I$7:$I$110</c:f>
              <c:numCache>
                <c:formatCode>General</c:formatCode>
                <c:ptCount val="104"/>
                <c:pt idx="15">
                  <c:v>20.348837000000003</c:v>
                </c:pt>
                <c:pt idx="16">
                  <c:v>31.337209999999992</c:v>
                </c:pt>
                <c:pt idx="17">
                  <c:v>127.79069499999999</c:v>
                </c:pt>
                <c:pt idx="18">
                  <c:v>38.255814000000008</c:v>
                </c:pt>
                <c:pt idx="19">
                  <c:v>39.883720000000004</c:v>
                </c:pt>
                <c:pt idx="20">
                  <c:v>51.020409999999991</c:v>
                </c:pt>
                <c:pt idx="21">
                  <c:v>44.897959999999998</c:v>
                </c:pt>
                <c:pt idx="22">
                  <c:v>24.897958999999997</c:v>
                </c:pt>
                <c:pt idx="23">
                  <c:v>71.836729999999989</c:v>
                </c:pt>
                <c:pt idx="24">
                  <c:v>53.469387000000005</c:v>
                </c:pt>
                <c:pt idx="25">
                  <c:v>34.285713000000008</c:v>
                </c:pt>
                <c:pt idx="26">
                  <c:v>112.99999999999999</c:v>
                </c:pt>
                <c:pt idx="27">
                  <c:v>30.000000000000007</c:v>
                </c:pt>
                <c:pt idx="28">
                  <c:v>93.999999999999986</c:v>
                </c:pt>
                <c:pt idx="29">
                  <c:v>24.000000000000014</c:v>
                </c:pt>
                <c:pt idx="30">
                  <c:v>26</c:v>
                </c:pt>
                <c:pt idx="31">
                  <c:v>53.999999999999993</c:v>
                </c:pt>
                <c:pt idx="32">
                  <c:v>54.999999999999993</c:v>
                </c:pt>
                <c:pt idx="33">
                  <c:v>34</c:v>
                </c:pt>
                <c:pt idx="34">
                  <c:v>80</c:v>
                </c:pt>
                <c:pt idx="35">
                  <c:v>87</c:v>
                </c:pt>
                <c:pt idx="36">
                  <c:v>31.000000000000004</c:v>
                </c:pt>
                <c:pt idx="37">
                  <c:v>22.999999999999993</c:v>
                </c:pt>
                <c:pt idx="38">
                  <c:v>8.0000000000000018</c:v>
                </c:pt>
                <c:pt idx="39">
                  <c:v>93.999999999999986</c:v>
                </c:pt>
                <c:pt idx="40">
                  <c:v>33.000000000000021</c:v>
                </c:pt>
                <c:pt idx="41">
                  <c:v>47.999999999999986</c:v>
                </c:pt>
                <c:pt idx="42">
                  <c:v>102</c:v>
                </c:pt>
                <c:pt idx="43">
                  <c:v>45</c:v>
                </c:pt>
                <c:pt idx="44">
                  <c:v>20.000000000000007</c:v>
                </c:pt>
                <c:pt idx="45">
                  <c:v>34.999999999999993</c:v>
                </c:pt>
                <c:pt idx="46">
                  <c:v>40.999999999999993</c:v>
                </c:pt>
                <c:pt idx="47">
                  <c:v>22.000000000000007</c:v>
                </c:pt>
                <c:pt idx="48">
                  <c:v>62.999999999999993</c:v>
                </c:pt>
                <c:pt idx="49">
                  <c:v>40.000000000000007</c:v>
                </c:pt>
                <c:pt idx="50">
                  <c:v>104.99999999999997</c:v>
                </c:pt>
                <c:pt idx="51">
                  <c:v>30.000000000000004</c:v>
                </c:pt>
                <c:pt idx="52">
                  <c:v>84.999999999999986</c:v>
                </c:pt>
                <c:pt idx="53">
                  <c:v>34.000000000000007</c:v>
                </c:pt>
                <c:pt idx="54">
                  <c:v>40</c:v>
                </c:pt>
                <c:pt idx="55">
                  <c:v>51</c:v>
                </c:pt>
                <c:pt idx="56">
                  <c:v>114.99999999999997</c:v>
                </c:pt>
                <c:pt idx="57">
                  <c:v>42.000000000000007</c:v>
                </c:pt>
                <c:pt idx="58">
                  <c:v>42.999999999999993</c:v>
                </c:pt>
                <c:pt idx="59">
                  <c:v>25.000000000000007</c:v>
                </c:pt>
                <c:pt idx="60">
                  <c:v>47.999999999999993</c:v>
                </c:pt>
                <c:pt idx="61">
                  <c:v>23</c:v>
                </c:pt>
                <c:pt idx="62">
                  <c:v>33</c:v>
                </c:pt>
                <c:pt idx="63">
                  <c:v>123.99999999999999</c:v>
                </c:pt>
                <c:pt idx="64">
                  <c:v>39.000000000000014</c:v>
                </c:pt>
                <c:pt idx="65">
                  <c:v>42</c:v>
                </c:pt>
                <c:pt idx="66">
                  <c:v>51.999999999999993</c:v>
                </c:pt>
                <c:pt idx="67">
                  <c:v>45.999999999999986</c:v>
                </c:pt>
                <c:pt idx="68">
                  <c:v>28</c:v>
                </c:pt>
                <c:pt idx="69">
                  <c:v>71.999999999999986</c:v>
                </c:pt>
                <c:pt idx="70">
                  <c:v>52.000000000000014</c:v>
                </c:pt>
                <c:pt idx="71">
                  <c:v>37.999999999999993</c:v>
                </c:pt>
                <c:pt idx="72">
                  <c:v>80</c:v>
                </c:pt>
                <c:pt idx="73">
                  <c:v>82.999999999999986</c:v>
                </c:pt>
                <c:pt idx="74">
                  <c:v>67</c:v>
                </c:pt>
                <c:pt idx="75">
                  <c:v>4.0000000000000089</c:v>
                </c:pt>
                <c:pt idx="76">
                  <c:v>91.999999999999986</c:v>
                </c:pt>
                <c:pt idx="77">
                  <c:v>122.99999999999999</c:v>
                </c:pt>
                <c:pt idx="78">
                  <c:v>85</c:v>
                </c:pt>
                <c:pt idx="79">
                  <c:v>34.000000000000007</c:v>
                </c:pt>
                <c:pt idx="80">
                  <c:v>40</c:v>
                </c:pt>
                <c:pt idx="81">
                  <c:v>51</c:v>
                </c:pt>
                <c:pt idx="82">
                  <c:v>114.99999999999997</c:v>
                </c:pt>
                <c:pt idx="83">
                  <c:v>42.000000000000014</c:v>
                </c:pt>
                <c:pt idx="84">
                  <c:v>43</c:v>
                </c:pt>
                <c:pt idx="85">
                  <c:v>25.000000000000007</c:v>
                </c:pt>
                <c:pt idx="86">
                  <c:v>47.999999999999993</c:v>
                </c:pt>
                <c:pt idx="87">
                  <c:v>23.000000000000004</c:v>
                </c:pt>
                <c:pt idx="88">
                  <c:v>32.999999999999993</c:v>
                </c:pt>
                <c:pt idx="89">
                  <c:v>123.99999999999997</c:v>
                </c:pt>
                <c:pt idx="90">
                  <c:v>39.000000000000007</c:v>
                </c:pt>
                <c:pt idx="91">
                  <c:v>41.999999999999993</c:v>
                </c:pt>
                <c:pt idx="92">
                  <c:v>52</c:v>
                </c:pt>
                <c:pt idx="93">
                  <c:v>46</c:v>
                </c:pt>
                <c:pt idx="94">
                  <c:v>28.000000000000004</c:v>
                </c:pt>
                <c:pt idx="95">
                  <c:v>72</c:v>
                </c:pt>
                <c:pt idx="96">
                  <c:v>52</c:v>
                </c:pt>
                <c:pt idx="97">
                  <c:v>38</c:v>
                </c:pt>
                <c:pt idx="98">
                  <c:v>79.999999999999986</c:v>
                </c:pt>
                <c:pt idx="99">
                  <c:v>83</c:v>
                </c:pt>
                <c:pt idx="100">
                  <c:v>67.000000000000014</c:v>
                </c:pt>
                <c:pt idx="101">
                  <c:v>4.0000000000000018</c:v>
                </c:pt>
                <c:pt idx="102">
                  <c:v>91.999999999999986</c:v>
                </c:pt>
                <c:pt idx="103">
                  <c:v>122.99999999999997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D9E2-444D-A406-BD1E061EDF79}"/>
            </c:ext>
          </c:extLst>
        </c:ser>
        <c:ser>
          <c:idx val="2"/>
          <c:order val="2"/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strRef>
              <c:f>ormangopet!$D$6:$D$70</c:f>
              <c:strCache>
                <c:ptCount val="65"/>
                <c:pt idx="0">
                  <c:v>period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</c:strCache>
            </c:strRef>
          </c:xVal>
          <c:yVal>
            <c:numRef>
              <c:f>ormangopet!$M$6:$M$70</c:f>
              <c:numCache>
                <c:formatCode>General</c:formatCode>
                <c:ptCount val="65"/>
                <c:pt idx="1">
                  <c:v>54.376103666666673</c:v>
                </c:pt>
                <c:pt idx="2">
                  <c:v>51.864093866666664</c:v>
                </c:pt>
                <c:pt idx="3">
                  <c:v>52.19478706666667</c:v>
                </c:pt>
                <c:pt idx="4">
                  <c:v>57.657161933333335</c:v>
                </c:pt>
                <c:pt idx="5">
                  <c:v>57.448129266666669</c:v>
                </c:pt>
                <c:pt idx="6">
                  <c:v>55.453903666666676</c:v>
                </c:pt>
                <c:pt idx="7">
                  <c:v>53.14705166666667</c:v>
                </c:pt>
                <c:pt idx="8">
                  <c:v>50.32382393333333</c:v>
                </c:pt>
                <c:pt idx="9">
                  <c:v>49.711224133333332</c:v>
                </c:pt>
                <c:pt idx="10">
                  <c:v>51.903238133333339</c:v>
                </c:pt>
                <c:pt idx="11">
                  <c:v>52.005062066666667</c:v>
                </c:pt>
                <c:pt idx="12">
                  <c:v>46.531086266666662</c:v>
                </c:pt>
                <c:pt idx="13">
                  <c:v>51.351241333333327</c:v>
                </c:pt>
                <c:pt idx="14">
                  <c:v>50.339613333333332</c:v>
                </c:pt>
                <c:pt idx="15">
                  <c:v>54.924109533333329</c:v>
                </c:pt>
                <c:pt idx="16">
                  <c:v>53.26829566666666</c:v>
                </c:pt>
                <c:pt idx="17">
                  <c:v>53.645039866666664</c:v>
                </c:pt>
                <c:pt idx="18">
                  <c:v>55.155892533333336</c:v>
                </c:pt>
                <c:pt idx="19">
                  <c:v>50.303179533333335</c:v>
                </c:pt>
                <c:pt idx="20">
                  <c:v>50.019458599999993</c:v>
                </c:pt>
                <c:pt idx="21">
                  <c:v>52.693877266666661</c:v>
                </c:pt>
                <c:pt idx="22">
                  <c:v>55.092516599999996</c:v>
                </c:pt>
                <c:pt idx="23">
                  <c:v>54.165985933333332</c:v>
                </c:pt>
                <c:pt idx="24">
                  <c:v>54.039455333333336</c:v>
                </c:pt>
                <c:pt idx="25">
                  <c:v>49.783673333333333</c:v>
                </c:pt>
                <c:pt idx="26">
                  <c:v>52.485714199999997</c:v>
                </c:pt>
                <c:pt idx="27">
                  <c:v>52.4</c:v>
                </c:pt>
                <c:pt idx="28">
                  <c:v>48.06666666666667</c:v>
                </c:pt>
                <c:pt idx="29">
                  <c:v>52.866666666666667</c:v>
                </c:pt>
                <c:pt idx="30">
                  <c:v>49.6</c:v>
                </c:pt>
                <c:pt idx="31">
                  <c:v>49.333333333333336</c:v>
                </c:pt>
                <c:pt idx="32">
                  <c:v>49.93333333333333</c:v>
                </c:pt>
                <c:pt idx="33">
                  <c:v>49.06666666666667</c:v>
                </c:pt>
                <c:pt idx="34">
                  <c:v>46.866666666666667</c:v>
                </c:pt>
                <c:pt idx="35">
                  <c:v>48.8</c:v>
                </c:pt>
                <c:pt idx="36">
                  <c:v>46.133333333333333</c:v>
                </c:pt>
                <c:pt idx="37">
                  <c:v>47.333333333333336</c:v>
                </c:pt>
                <c:pt idx="38">
                  <c:v>47.266666666666666</c:v>
                </c:pt>
                <c:pt idx="39">
                  <c:v>51.4</c:v>
                </c:pt>
                <c:pt idx="40">
                  <c:v>53.133333333333333</c:v>
                </c:pt>
                <c:pt idx="41">
                  <c:v>49.533333333333331</c:v>
                </c:pt>
                <c:pt idx="42">
                  <c:v>50.733333333333334</c:v>
                </c:pt>
                <c:pt idx="43">
                  <c:v>55.2</c:v>
                </c:pt>
                <c:pt idx="44">
                  <c:v>51.2</c:v>
                </c:pt>
                <c:pt idx="45">
                  <c:v>51.06666666666667</c:v>
                </c:pt>
                <c:pt idx="46">
                  <c:v>51.4</c:v>
                </c:pt>
                <c:pt idx="47">
                  <c:v>52.266666666666666</c:v>
                </c:pt>
                <c:pt idx="48">
                  <c:v>51.06666666666667</c:v>
                </c:pt>
                <c:pt idx="49">
                  <c:v>51.8</c:v>
                </c:pt>
                <c:pt idx="50">
                  <c:v>55.866666666666667</c:v>
                </c:pt>
                <c:pt idx="51">
                  <c:v>55.8</c:v>
                </c:pt>
                <c:pt idx="52">
                  <c:v>51.6</c:v>
                </c:pt>
                <c:pt idx="53">
                  <c:v>53.06666666666667</c:v>
                </c:pt>
                <c:pt idx="54">
                  <c:v>50.466666666666669</c:v>
                </c:pt>
                <c:pt idx="55">
                  <c:v>50.06666666666667</c:v>
                </c:pt>
                <c:pt idx="56">
                  <c:v>52.2</c:v>
                </c:pt>
                <c:pt idx="57">
                  <c:v>52.266666666666666</c:v>
                </c:pt>
                <c:pt idx="58">
                  <c:v>47.133333333333333</c:v>
                </c:pt>
                <c:pt idx="59">
                  <c:v>49.666666666666664</c:v>
                </c:pt>
                <c:pt idx="60">
                  <c:v>52.333333333333336</c:v>
                </c:pt>
                <c:pt idx="61">
                  <c:v>55.133333333333333</c:v>
                </c:pt>
                <c:pt idx="62">
                  <c:v>52.2</c:v>
                </c:pt>
                <c:pt idx="63">
                  <c:v>56.8</c:v>
                </c:pt>
                <c:pt idx="64">
                  <c:v>62.8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E2-444D-A406-BD1E061EDF79}"/>
            </c:ext>
          </c:extLst>
        </c:ser>
        <c:ser>
          <c:idx val="3"/>
          <c:order val="3"/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ormangopet!$D$7:$D$70</c:f>
              <c:numCache>
                <c:formatCode>General</c:formatCode>
                <c:ptCount val="6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</c:numCache>
            </c:numRef>
          </c:xVal>
          <c:yVal>
            <c:numRef>
              <c:f>ormangopet!$O$7:$O$70</c:f>
              <c:numCache>
                <c:formatCode>General</c:formatCode>
                <c:ptCount val="64"/>
                <c:pt idx="0">
                  <c:v>52.401031093749296</c:v>
                </c:pt>
                <c:pt idx="1">
                  <c:v>52.401031093749296</c:v>
                </c:pt>
                <c:pt idx="2">
                  <c:v>52.401031093749296</c:v>
                </c:pt>
                <c:pt idx="3">
                  <c:v>52.401031093749296</c:v>
                </c:pt>
                <c:pt idx="4">
                  <c:v>52.401031093749296</c:v>
                </c:pt>
                <c:pt idx="5">
                  <c:v>52.401031093749296</c:v>
                </c:pt>
                <c:pt idx="6">
                  <c:v>52.401031093749296</c:v>
                </c:pt>
                <c:pt idx="7">
                  <c:v>52.401031093749296</c:v>
                </c:pt>
                <c:pt idx="8">
                  <c:v>52.401031093749296</c:v>
                </c:pt>
                <c:pt idx="9">
                  <c:v>52.401031093749296</c:v>
                </c:pt>
                <c:pt idx="10">
                  <c:v>52.401031093749296</c:v>
                </c:pt>
                <c:pt idx="11">
                  <c:v>52.401031093749296</c:v>
                </c:pt>
                <c:pt idx="12">
                  <c:v>52.401031093749296</c:v>
                </c:pt>
                <c:pt idx="13">
                  <c:v>52.401031093749296</c:v>
                </c:pt>
                <c:pt idx="14">
                  <c:v>52.401031093749296</c:v>
                </c:pt>
                <c:pt idx="15">
                  <c:v>52.401031093749296</c:v>
                </c:pt>
                <c:pt idx="16">
                  <c:v>52.401031093749296</c:v>
                </c:pt>
                <c:pt idx="17">
                  <c:v>52.401031093749296</c:v>
                </c:pt>
                <c:pt idx="18">
                  <c:v>52.401031093749296</c:v>
                </c:pt>
                <c:pt idx="19">
                  <c:v>52.401031093749296</c:v>
                </c:pt>
                <c:pt idx="20">
                  <c:v>52.401031093749296</c:v>
                </c:pt>
                <c:pt idx="21">
                  <c:v>52.401031093749296</c:v>
                </c:pt>
                <c:pt idx="22">
                  <c:v>52.401031093749296</c:v>
                </c:pt>
                <c:pt idx="23">
                  <c:v>52.401031093749296</c:v>
                </c:pt>
                <c:pt idx="24">
                  <c:v>52.401031093749296</c:v>
                </c:pt>
                <c:pt idx="25">
                  <c:v>52.401031093749296</c:v>
                </c:pt>
                <c:pt idx="26">
                  <c:v>52.401031093749296</c:v>
                </c:pt>
                <c:pt idx="27">
                  <c:v>52.401031093749296</c:v>
                </c:pt>
                <c:pt idx="28">
                  <c:v>52.401031093749296</c:v>
                </c:pt>
                <c:pt idx="29">
                  <c:v>52.401031093749296</c:v>
                </c:pt>
                <c:pt idx="30">
                  <c:v>52.401031093749296</c:v>
                </c:pt>
                <c:pt idx="31">
                  <c:v>52.401031093749296</c:v>
                </c:pt>
                <c:pt idx="32">
                  <c:v>52.401031093749296</c:v>
                </c:pt>
                <c:pt idx="33">
                  <c:v>52.401031093749296</c:v>
                </c:pt>
                <c:pt idx="34">
                  <c:v>52.401031093749296</c:v>
                </c:pt>
                <c:pt idx="35">
                  <c:v>52.401031093749296</c:v>
                </c:pt>
                <c:pt idx="36">
                  <c:v>52.401031093749296</c:v>
                </c:pt>
                <c:pt idx="37">
                  <c:v>52.401031093749296</c:v>
                </c:pt>
                <c:pt idx="38">
                  <c:v>52.401031093749296</c:v>
                </c:pt>
                <c:pt idx="39">
                  <c:v>52.401031093749296</c:v>
                </c:pt>
                <c:pt idx="40">
                  <c:v>52.401031093749296</c:v>
                </c:pt>
                <c:pt idx="41">
                  <c:v>52.401031093749296</c:v>
                </c:pt>
                <c:pt idx="42">
                  <c:v>52.401031093749296</c:v>
                </c:pt>
                <c:pt idx="43">
                  <c:v>52.401031093749296</c:v>
                </c:pt>
                <c:pt idx="44">
                  <c:v>52.401031093749296</c:v>
                </c:pt>
                <c:pt idx="45">
                  <c:v>52.401031093749296</c:v>
                </c:pt>
                <c:pt idx="46">
                  <c:v>52.401031093749296</c:v>
                </c:pt>
                <c:pt idx="47">
                  <c:v>52.401031093749296</c:v>
                </c:pt>
                <c:pt idx="48">
                  <c:v>52.401031093749296</c:v>
                </c:pt>
                <c:pt idx="49">
                  <c:v>52.401031093749296</c:v>
                </c:pt>
                <c:pt idx="50">
                  <c:v>52.401031093749296</c:v>
                </c:pt>
                <c:pt idx="51">
                  <c:v>52.401031093749296</c:v>
                </c:pt>
                <c:pt idx="52">
                  <c:v>52.401031093749296</c:v>
                </c:pt>
                <c:pt idx="53">
                  <c:v>52.401031093749296</c:v>
                </c:pt>
                <c:pt idx="54">
                  <c:v>52.401031093749296</c:v>
                </c:pt>
                <c:pt idx="55">
                  <c:v>52.401031093749296</c:v>
                </c:pt>
                <c:pt idx="56">
                  <c:v>52.401031093749296</c:v>
                </c:pt>
                <c:pt idx="57">
                  <c:v>52.401031093749296</c:v>
                </c:pt>
                <c:pt idx="58">
                  <c:v>52.401031093749296</c:v>
                </c:pt>
                <c:pt idx="59">
                  <c:v>52.401031093749296</c:v>
                </c:pt>
                <c:pt idx="60">
                  <c:v>52.401031093749296</c:v>
                </c:pt>
                <c:pt idx="61">
                  <c:v>52.401031093749296</c:v>
                </c:pt>
                <c:pt idx="62">
                  <c:v>52.401031093749296</c:v>
                </c:pt>
                <c:pt idx="63">
                  <c:v>52.401031093749296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9E2-444D-A406-BD1E061ED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075504"/>
        <c:axId val="429078128"/>
        <c:extLst/>
      </c:scatterChart>
      <c:valAx>
        <c:axId val="429075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9078128"/>
        <c:crosses val="autoZero"/>
        <c:crossBetween val="midCat"/>
      </c:valAx>
      <c:valAx>
        <c:axId val="42907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9075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C-powerpet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7024683463955753E-2"/>
          <c:y val="0.1108362172786877"/>
          <c:w val="0.90832787948554627"/>
          <c:h val="0.82657635024721909"/>
        </c:manualLayout>
      </c:layout>
      <c:scatterChart>
        <c:scatterStyle val="lineMarker"/>
        <c:varyColors val="0"/>
        <c:ser>
          <c:idx val="0"/>
          <c:order val="0"/>
          <c:tx>
            <c:strRef>
              <c:f>cpowpet!$E$6</c:f>
              <c:strCache>
                <c:ptCount val="1"/>
                <c:pt idx="0">
                  <c:v>Y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strRef>
              <c:f>cpowpet!$D$6:$D$110</c:f>
              <c:strCache>
                <c:ptCount val="105"/>
                <c:pt idx="0">
                  <c:v>period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</c:strCache>
            </c:strRef>
          </c:xVal>
          <c:yVal>
            <c:numRef>
              <c:f>cpowpet!$E$7:$E$110</c:f>
              <c:numCache>
                <c:formatCode>General</c:formatCode>
                <c:ptCount val="104"/>
                <c:pt idx="0">
                  <c:v>19.011627000000001</c:v>
                </c:pt>
                <c:pt idx="1">
                  <c:v>35.232559999999999</c:v>
                </c:pt>
                <c:pt idx="2">
                  <c:v>29.476744</c:v>
                </c:pt>
                <c:pt idx="3">
                  <c:v>6.8023256999999999</c:v>
                </c:pt>
                <c:pt idx="4">
                  <c:v>10.639535</c:v>
                </c:pt>
                <c:pt idx="5">
                  <c:v>11.162789999999999</c:v>
                </c:pt>
                <c:pt idx="6">
                  <c:v>16.220929999999999</c:v>
                </c:pt>
                <c:pt idx="7">
                  <c:v>17.790697000000002</c:v>
                </c:pt>
                <c:pt idx="8">
                  <c:v>33.837207999999997</c:v>
                </c:pt>
                <c:pt idx="9">
                  <c:v>6.8023256999999999</c:v>
                </c:pt>
                <c:pt idx="10">
                  <c:v>24.244185999999999</c:v>
                </c:pt>
                <c:pt idx="11">
                  <c:v>17.790697000000002</c:v>
                </c:pt>
                <c:pt idx="12">
                  <c:v>1.0465116999999999</c:v>
                </c:pt>
                <c:pt idx="13">
                  <c:v>15.348837</c:v>
                </c:pt>
                <c:pt idx="14">
                  <c:v>15.174417999999999</c:v>
                </c:pt>
                <c:pt idx="15">
                  <c:v>0.69767440000000003</c:v>
                </c:pt>
                <c:pt idx="16">
                  <c:v>35.406979999999997</c:v>
                </c:pt>
                <c:pt idx="17">
                  <c:v>20.581396000000002</c:v>
                </c:pt>
                <c:pt idx="18">
                  <c:v>21.627907</c:v>
                </c:pt>
                <c:pt idx="19">
                  <c:v>41.162792000000003</c:v>
                </c:pt>
                <c:pt idx="20">
                  <c:v>4.5180235</c:v>
                </c:pt>
                <c:pt idx="21">
                  <c:v>24.209885</c:v>
                </c:pt>
                <c:pt idx="22">
                  <c:v>7.7976747</c:v>
                </c:pt>
                <c:pt idx="23">
                  <c:v>13.187208999999999</c:v>
                </c:pt>
                <c:pt idx="24">
                  <c:v>17.006395000000001</c:v>
                </c:pt>
                <c:pt idx="25">
                  <c:v>51.349420000000002</c:v>
                </c:pt>
                <c:pt idx="26">
                  <c:v>20</c:v>
                </c:pt>
                <c:pt idx="27">
                  <c:v>12</c:v>
                </c:pt>
                <c:pt idx="28">
                  <c:v>18</c:v>
                </c:pt>
                <c:pt idx="29">
                  <c:v>14</c:v>
                </c:pt>
                <c:pt idx="30">
                  <c:v>8</c:v>
                </c:pt>
                <c:pt idx="31">
                  <c:v>15</c:v>
                </c:pt>
                <c:pt idx="32">
                  <c:v>31</c:v>
                </c:pt>
                <c:pt idx="33">
                  <c:v>9</c:v>
                </c:pt>
                <c:pt idx="34">
                  <c:v>11</c:v>
                </c:pt>
                <c:pt idx="35">
                  <c:v>13</c:v>
                </c:pt>
                <c:pt idx="36">
                  <c:v>7</c:v>
                </c:pt>
                <c:pt idx="37">
                  <c:v>50</c:v>
                </c:pt>
                <c:pt idx="38">
                  <c:v>19</c:v>
                </c:pt>
                <c:pt idx="39">
                  <c:v>22</c:v>
                </c:pt>
                <c:pt idx="40">
                  <c:v>16</c:v>
                </c:pt>
                <c:pt idx="41">
                  <c:v>10</c:v>
                </c:pt>
                <c:pt idx="42">
                  <c:v>28</c:v>
                </c:pt>
                <c:pt idx="43">
                  <c:v>12</c:v>
                </c:pt>
                <c:pt idx="44">
                  <c:v>12</c:v>
                </c:pt>
                <c:pt idx="45">
                  <c:v>18</c:v>
                </c:pt>
                <c:pt idx="46">
                  <c:v>8</c:v>
                </c:pt>
                <c:pt idx="47">
                  <c:v>14</c:v>
                </c:pt>
                <c:pt idx="48">
                  <c:v>20</c:v>
                </c:pt>
                <c:pt idx="49">
                  <c:v>22</c:v>
                </c:pt>
                <c:pt idx="50">
                  <c:v>68</c:v>
                </c:pt>
                <c:pt idx="51">
                  <c:v>17</c:v>
                </c:pt>
                <c:pt idx="52">
                  <c:v>37</c:v>
                </c:pt>
                <c:pt idx="53">
                  <c:v>15</c:v>
                </c:pt>
                <c:pt idx="54">
                  <c:v>8</c:v>
                </c:pt>
                <c:pt idx="55">
                  <c:v>10</c:v>
                </c:pt>
                <c:pt idx="56">
                  <c:v>22</c:v>
                </c:pt>
                <c:pt idx="57">
                  <c:v>17</c:v>
                </c:pt>
                <c:pt idx="58">
                  <c:v>20</c:v>
                </c:pt>
                <c:pt idx="59">
                  <c:v>12</c:v>
                </c:pt>
                <c:pt idx="60">
                  <c:v>48</c:v>
                </c:pt>
                <c:pt idx="61">
                  <c:v>22</c:v>
                </c:pt>
                <c:pt idx="62">
                  <c:v>8</c:v>
                </c:pt>
                <c:pt idx="63">
                  <c:v>14</c:v>
                </c:pt>
                <c:pt idx="64">
                  <c:v>25</c:v>
                </c:pt>
                <c:pt idx="65">
                  <c:v>11</c:v>
                </c:pt>
                <c:pt idx="66">
                  <c:v>24</c:v>
                </c:pt>
                <c:pt idx="67">
                  <c:v>21</c:v>
                </c:pt>
                <c:pt idx="68">
                  <c:v>35</c:v>
                </c:pt>
                <c:pt idx="69">
                  <c:v>30</c:v>
                </c:pt>
                <c:pt idx="70">
                  <c:v>2</c:v>
                </c:pt>
                <c:pt idx="71">
                  <c:v>32</c:v>
                </c:pt>
                <c:pt idx="72">
                  <c:v>22</c:v>
                </c:pt>
                <c:pt idx="73">
                  <c:v>22</c:v>
                </c:pt>
                <c:pt idx="74">
                  <c:v>16</c:v>
                </c:pt>
                <c:pt idx="75">
                  <c:v>2</c:v>
                </c:pt>
                <c:pt idx="76">
                  <c:v>50</c:v>
                </c:pt>
                <c:pt idx="77">
                  <c:v>12</c:v>
                </c:pt>
                <c:pt idx="78">
                  <c:v>37</c:v>
                </c:pt>
                <c:pt idx="79">
                  <c:v>15</c:v>
                </c:pt>
                <c:pt idx="80">
                  <c:v>8</c:v>
                </c:pt>
                <c:pt idx="81">
                  <c:v>10</c:v>
                </c:pt>
                <c:pt idx="82">
                  <c:v>22</c:v>
                </c:pt>
                <c:pt idx="83">
                  <c:v>17</c:v>
                </c:pt>
                <c:pt idx="84">
                  <c:v>20</c:v>
                </c:pt>
                <c:pt idx="85">
                  <c:v>12</c:v>
                </c:pt>
                <c:pt idx="86">
                  <c:v>48</c:v>
                </c:pt>
                <c:pt idx="87">
                  <c:v>22</c:v>
                </c:pt>
                <c:pt idx="88">
                  <c:v>8</c:v>
                </c:pt>
                <c:pt idx="89">
                  <c:v>14</c:v>
                </c:pt>
                <c:pt idx="90">
                  <c:v>25</c:v>
                </c:pt>
                <c:pt idx="91">
                  <c:v>11</c:v>
                </c:pt>
                <c:pt idx="92">
                  <c:v>24</c:v>
                </c:pt>
                <c:pt idx="93">
                  <c:v>21</c:v>
                </c:pt>
                <c:pt idx="94">
                  <c:v>35</c:v>
                </c:pt>
                <c:pt idx="95">
                  <c:v>30</c:v>
                </c:pt>
                <c:pt idx="96">
                  <c:v>2</c:v>
                </c:pt>
                <c:pt idx="97">
                  <c:v>32</c:v>
                </c:pt>
                <c:pt idx="98">
                  <c:v>22</c:v>
                </c:pt>
                <c:pt idx="99">
                  <c:v>22</c:v>
                </c:pt>
                <c:pt idx="100">
                  <c:v>16</c:v>
                </c:pt>
                <c:pt idx="101">
                  <c:v>2</c:v>
                </c:pt>
                <c:pt idx="102">
                  <c:v>50</c:v>
                </c:pt>
                <c:pt idx="103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D2-43C9-AFBD-570AD095D976}"/>
            </c:ext>
          </c:extLst>
        </c:ser>
        <c:ser>
          <c:idx val="1"/>
          <c:order val="1"/>
          <c:tx>
            <c:strRef>
              <c:f>cpowpet!$I$6</c:f>
              <c:strCache>
                <c:ptCount val="1"/>
                <c:pt idx="0">
                  <c:v>forcast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cpowpet!$D$7:$D$110</c:f>
              <c:numCache>
                <c:formatCode>General</c:formatCode>
                <c:ptCount val="1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</c:numCache>
            </c:numRef>
          </c:xVal>
          <c:yVal>
            <c:numRef>
              <c:f>cpowpet!$I$7:$I$110</c:f>
              <c:numCache>
                <c:formatCode>General</c:formatCode>
                <c:ptCount val="104"/>
                <c:pt idx="15">
                  <c:v>0.69607102049648395</c:v>
                </c:pt>
                <c:pt idx="16">
                  <c:v>35.492716724985144</c:v>
                </c:pt>
                <c:pt idx="17">
                  <c:v>20.629431376700982</c:v>
                </c:pt>
                <c:pt idx="18">
                  <c:v>21.682848909970005</c:v>
                </c:pt>
                <c:pt idx="19">
                  <c:v>41.267573949269817</c:v>
                </c:pt>
                <c:pt idx="20">
                  <c:v>4.5271285688716256</c:v>
                </c:pt>
                <c:pt idx="21">
                  <c:v>24.268959457237514</c:v>
                </c:pt>
                <c:pt idx="22">
                  <c:v>7.8135321701932821</c:v>
                </c:pt>
                <c:pt idx="23">
                  <c:v>13.21301715633891</c:v>
                </c:pt>
                <c:pt idx="24">
                  <c:v>17.04889531588551</c:v>
                </c:pt>
                <c:pt idx="25">
                  <c:v>51.476416473296588</c:v>
                </c:pt>
                <c:pt idx="26">
                  <c:v>20.046977071106173</c:v>
                </c:pt>
                <c:pt idx="27">
                  <c:v>12.03089858293154</c:v>
                </c:pt>
                <c:pt idx="28">
                  <c:v>18.04118287939848</c:v>
                </c:pt>
                <c:pt idx="29">
                  <c:v>14.03074041423181</c:v>
                </c:pt>
                <c:pt idx="30">
                  <c:v>8.0136080262063114</c:v>
                </c:pt>
                <c:pt idx="31">
                  <c:v>15.025606202431048</c:v>
                </c:pt>
                <c:pt idx="32">
                  <c:v>31.069340700728734</c:v>
                </c:pt>
                <c:pt idx="33">
                  <c:v>9.0207603044121072</c:v>
                </c:pt>
                <c:pt idx="34">
                  <c:v>11.024386465528591</c:v>
                </c:pt>
                <c:pt idx="35">
                  <c:v>13.029312883253031</c:v>
                </c:pt>
                <c:pt idx="36">
                  <c:v>7.0115675494482934</c:v>
                </c:pt>
                <c:pt idx="37">
                  <c:v>50.122697538796402</c:v>
                </c:pt>
                <c:pt idx="38">
                  <c:v>19.034895548288659</c:v>
                </c:pt>
                <c:pt idx="39">
                  <c:v>22.05426798988946</c:v>
                </c:pt>
                <c:pt idx="40">
                  <c:v>16.030639992197781</c:v>
                </c:pt>
                <c:pt idx="41">
                  <c:v>10.017898745053769</c:v>
                </c:pt>
                <c:pt idx="42">
                  <c:v>28.072323844250292</c:v>
                </c:pt>
                <c:pt idx="43">
                  <c:v>12.021412845358919</c:v>
                </c:pt>
                <c:pt idx="44">
                  <c:v>12.021469035672435</c:v>
                </c:pt>
                <c:pt idx="45">
                  <c:v>18.034538732525665</c:v>
                </c:pt>
                <c:pt idx="46">
                  <c:v>7.9979079628424037</c:v>
                </c:pt>
                <c:pt idx="47">
                  <c:v>14.017253136469568</c:v>
                </c:pt>
                <c:pt idx="48">
                  <c:v>20.047573053104863</c:v>
                </c:pt>
                <c:pt idx="49">
                  <c:v>22.050081270211948</c:v>
                </c:pt>
                <c:pt idx="50">
                  <c:v>68.169199671034136</c:v>
                </c:pt>
                <c:pt idx="51">
                  <c:v>17.032507155223456</c:v>
                </c:pt>
                <c:pt idx="52">
                  <c:v>37.083284981366582</c:v>
                </c:pt>
                <c:pt idx="53">
                  <c:v>15.014017955395362</c:v>
                </c:pt>
                <c:pt idx="54">
                  <c:v>8.0157710773620465</c:v>
                </c:pt>
                <c:pt idx="55">
                  <c:v>10.007928141184342</c:v>
                </c:pt>
                <c:pt idx="56">
                  <c:v>22.043925181754574</c:v>
                </c:pt>
                <c:pt idx="57">
                  <c:v>17.043414201231428</c:v>
                </c:pt>
                <c:pt idx="58">
                  <c:v>20.038793196412538</c:v>
                </c:pt>
                <c:pt idx="59">
                  <c:v>12.018042667076761</c:v>
                </c:pt>
                <c:pt idx="60">
                  <c:v>48.108260509185811</c:v>
                </c:pt>
                <c:pt idx="61">
                  <c:v>22.026019534592027</c:v>
                </c:pt>
                <c:pt idx="62">
                  <c:v>7.9946555863474797</c:v>
                </c:pt>
                <c:pt idx="63">
                  <c:v>14.030371266552555</c:v>
                </c:pt>
                <c:pt idx="64">
                  <c:v>25.055447281228108</c:v>
                </c:pt>
                <c:pt idx="65">
                  <c:v>11.018424479677307</c:v>
                </c:pt>
                <c:pt idx="66">
                  <c:v>24.047544997449059</c:v>
                </c:pt>
                <c:pt idx="67">
                  <c:v>21.038171224033736</c:v>
                </c:pt>
                <c:pt idx="68">
                  <c:v>35.059563780134603</c:v>
                </c:pt>
                <c:pt idx="69">
                  <c:v>30.071651832023438</c:v>
                </c:pt>
                <c:pt idx="70">
                  <c:v>1.9818985095441584</c:v>
                </c:pt>
                <c:pt idx="71">
                  <c:v>32.066139084955509</c:v>
                </c:pt>
                <c:pt idx="72">
                  <c:v>22.056188595218849</c:v>
                </c:pt>
                <c:pt idx="73">
                  <c:v>22.040189021452132</c:v>
                </c:pt>
                <c:pt idx="74">
                  <c:v>16.024678364103831</c:v>
                </c:pt>
                <c:pt idx="75">
                  <c:v>1.9839168791921238</c:v>
                </c:pt>
                <c:pt idx="76">
                  <c:v>50.090640659472761</c:v>
                </c:pt>
                <c:pt idx="77">
                  <c:v>11.998070075912135</c:v>
                </c:pt>
                <c:pt idx="78">
                  <c:v>37.088559694712679</c:v>
                </c:pt>
                <c:pt idx="79">
                  <c:v>15.02668473094676</c:v>
                </c:pt>
                <c:pt idx="80">
                  <c:v>8.0078053848139721</c:v>
                </c:pt>
                <c:pt idx="81">
                  <c:v>10.007087522554118</c:v>
                </c:pt>
                <c:pt idx="82">
                  <c:v>22.036438329751789</c:v>
                </c:pt>
                <c:pt idx="83">
                  <c:v>17.004529085041145</c:v>
                </c:pt>
                <c:pt idx="84">
                  <c:v>20.0440244425589</c:v>
                </c:pt>
                <c:pt idx="85">
                  <c:v>12.002359557041999</c:v>
                </c:pt>
                <c:pt idx="86">
                  <c:v>48.103636478283057</c:v>
                </c:pt>
                <c:pt idx="87">
                  <c:v>22.055941422900911</c:v>
                </c:pt>
                <c:pt idx="88">
                  <c:v>8.0001716569854722</c:v>
                </c:pt>
                <c:pt idx="89">
                  <c:v>14.016006323915271</c:v>
                </c:pt>
                <c:pt idx="90">
                  <c:v>25.039398010930103</c:v>
                </c:pt>
                <c:pt idx="91">
                  <c:v>10.980960236147864</c:v>
                </c:pt>
                <c:pt idx="92">
                  <c:v>24.022586077803176</c:v>
                </c:pt>
                <c:pt idx="93">
                  <c:v>21.045400382714611</c:v>
                </c:pt>
                <c:pt idx="94">
                  <c:v>35.076426464432338</c:v>
                </c:pt>
                <c:pt idx="95">
                  <c:v>30.062500477237325</c:v>
                </c:pt>
                <c:pt idx="96">
                  <c:v>1.9824363661884812</c:v>
                </c:pt>
                <c:pt idx="97">
                  <c:v>32.058286920750255</c:v>
                </c:pt>
                <c:pt idx="98">
                  <c:v>22.009523620838642</c:v>
                </c:pt>
                <c:pt idx="99">
                  <c:v>22.047612599372975</c:v>
                </c:pt>
                <c:pt idx="100">
                  <c:v>16.006981174241535</c:v>
                </c:pt>
                <c:pt idx="101">
                  <c:v>1.9797818272574159</c:v>
                </c:pt>
                <c:pt idx="102">
                  <c:v>50.128513594569675</c:v>
                </c:pt>
                <c:pt idx="103">
                  <c:v>12.004416255155624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28D2-43C9-AFBD-570AD095D976}"/>
            </c:ext>
          </c:extLst>
        </c:ser>
        <c:ser>
          <c:idx val="2"/>
          <c:order val="2"/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strRef>
              <c:f>cpowpet!$D$6:$D$70</c:f>
              <c:strCache>
                <c:ptCount val="65"/>
                <c:pt idx="0">
                  <c:v>period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</c:strCache>
            </c:strRef>
          </c:xVal>
          <c:yVal>
            <c:numRef>
              <c:f>cpowpet!$M$6:$M$70</c:f>
              <c:numCache>
                <c:formatCode>General</c:formatCode>
                <c:ptCount val="65"/>
                <c:pt idx="1">
                  <c:v>17.372092806666664</c:v>
                </c:pt>
                <c:pt idx="2">
                  <c:v>16.151162633333335</c:v>
                </c:pt>
                <c:pt idx="3">
                  <c:v>16.162790633333337</c:v>
                </c:pt>
                <c:pt idx="4">
                  <c:v>15.569767433333336</c:v>
                </c:pt>
                <c:pt idx="5">
                  <c:v>16.558139520000001</c:v>
                </c:pt>
                <c:pt idx="6">
                  <c:v>18.59302332</c:v>
                </c:pt>
                <c:pt idx="7">
                  <c:v>18.150038886666671</c:v>
                </c:pt>
                <c:pt idx="8">
                  <c:v>18.682635886666667</c:v>
                </c:pt>
                <c:pt idx="9">
                  <c:v>18.016434399999998</c:v>
                </c:pt>
                <c:pt idx="10">
                  <c:v>16.639767799999998</c:v>
                </c:pt>
                <c:pt idx="11">
                  <c:v>17.320039086666668</c:v>
                </c:pt>
                <c:pt idx="12">
                  <c:v>19.127054686666664</c:v>
                </c:pt>
                <c:pt idx="13">
                  <c:v>19.274341553333329</c:v>
                </c:pt>
                <c:pt idx="14">
                  <c:v>20.004574106666663</c:v>
                </c:pt>
                <c:pt idx="15">
                  <c:v>20.181318306666661</c:v>
                </c:pt>
                <c:pt idx="16">
                  <c:v>20.103023773333334</c:v>
                </c:pt>
                <c:pt idx="17">
                  <c:v>20.589845480000001</c:v>
                </c:pt>
                <c:pt idx="18">
                  <c:v>19.229380146666667</c:v>
                </c:pt>
                <c:pt idx="19">
                  <c:v>19.923953746666665</c:v>
                </c:pt>
                <c:pt idx="20">
                  <c:v>19.082093279999999</c:v>
                </c:pt>
                <c:pt idx="21">
                  <c:v>17.071240479999997</c:v>
                </c:pt>
                <c:pt idx="22">
                  <c:v>17.636705580000001</c:v>
                </c:pt>
                <c:pt idx="23">
                  <c:v>16.489379913333334</c:v>
                </c:pt>
                <c:pt idx="24">
                  <c:v>19.302868266666668</c:v>
                </c:pt>
                <c:pt idx="25">
                  <c:v>19.690387666666666</c:v>
                </c:pt>
                <c:pt idx="26">
                  <c:v>20.023294666666668</c:v>
                </c:pt>
                <c:pt idx="27">
                  <c:v>17.666666666666668</c:v>
                </c:pt>
                <c:pt idx="28">
                  <c:v>17</c:v>
                </c:pt>
                <c:pt idx="29">
                  <c:v>18.066666666666666</c:v>
                </c:pt>
                <c:pt idx="30">
                  <c:v>17.666666666666668</c:v>
                </c:pt>
                <c:pt idx="31">
                  <c:v>17.533333333333335</c:v>
                </c:pt>
                <c:pt idx="32">
                  <c:v>18.2</c:v>
                </c:pt>
                <c:pt idx="33">
                  <c:v>17.733333333333334</c:v>
                </c:pt>
                <c:pt idx="34">
                  <c:v>16.600000000000001</c:v>
                </c:pt>
                <c:pt idx="35">
                  <c:v>17.333333333333332</c:v>
                </c:pt>
                <c:pt idx="36">
                  <c:v>18.066666666666666</c:v>
                </c:pt>
                <c:pt idx="37">
                  <c:v>21.733333333333334</c:v>
                </c:pt>
                <c:pt idx="38">
                  <c:v>22.4</c:v>
                </c:pt>
                <c:pt idx="39">
                  <c:v>21.533333333333335</c:v>
                </c:pt>
                <c:pt idx="40">
                  <c:v>21.266666666666666</c:v>
                </c:pt>
                <c:pt idx="41">
                  <c:v>20.333333333333332</c:v>
                </c:pt>
                <c:pt idx="42">
                  <c:v>19.933333333333334</c:v>
                </c:pt>
                <c:pt idx="43">
                  <c:v>20.733333333333334</c:v>
                </c:pt>
                <c:pt idx="44">
                  <c:v>20</c:v>
                </c:pt>
                <c:pt idx="45">
                  <c:v>20.533333333333335</c:v>
                </c:pt>
                <c:pt idx="46">
                  <c:v>20.533333333333335</c:v>
                </c:pt>
                <c:pt idx="47">
                  <c:v>22.533333333333335</c:v>
                </c:pt>
                <c:pt idx="48">
                  <c:v>23.466666666666665</c:v>
                </c:pt>
                <c:pt idx="49">
                  <c:v>23.066666666666666</c:v>
                </c:pt>
                <c:pt idx="50">
                  <c:v>22.666666666666668</c:v>
                </c:pt>
                <c:pt idx="51">
                  <c:v>22.866666666666667</c:v>
                </c:pt>
                <c:pt idx="52">
                  <c:v>19.066666666666666</c:v>
                </c:pt>
                <c:pt idx="53">
                  <c:v>19.533333333333335</c:v>
                </c:pt>
                <c:pt idx="54">
                  <c:v>18.466666666666665</c:v>
                </c:pt>
                <c:pt idx="55">
                  <c:v>19.8</c:v>
                </c:pt>
                <c:pt idx="56">
                  <c:v>21.266666666666666</c:v>
                </c:pt>
                <c:pt idx="57">
                  <c:v>20.733333333333334</c:v>
                </c:pt>
                <c:pt idx="58">
                  <c:v>21.4</c:v>
                </c:pt>
                <c:pt idx="59">
                  <c:v>21.733333333333334</c:v>
                </c:pt>
                <c:pt idx="60">
                  <c:v>21.866666666666667</c:v>
                </c:pt>
                <c:pt idx="61">
                  <c:v>22.133333333333333</c:v>
                </c:pt>
                <c:pt idx="62">
                  <c:v>19.066666666666666</c:v>
                </c:pt>
                <c:pt idx="63">
                  <c:v>20.933333333333334</c:v>
                </c:pt>
                <c:pt idx="64">
                  <c:v>21.2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D2-43C9-AFBD-570AD095D976}"/>
            </c:ext>
          </c:extLst>
        </c:ser>
        <c:ser>
          <c:idx val="3"/>
          <c:order val="3"/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cpowpet!$D$7:$D$70</c:f>
              <c:numCache>
                <c:formatCode>General</c:formatCode>
                <c:ptCount val="6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</c:numCache>
            </c:numRef>
          </c:xVal>
          <c:yVal>
            <c:numRef>
              <c:f>cpowpet!$O$7:$O$70</c:f>
              <c:numCache>
                <c:formatCode>General</c:formatCode>
                <c:ptCount val="64"/>
                <c:pt idx="0">
                  <c:v>17.784365458390273</c:v>
                </c:pt>
                <c:pt idx="1">
                  <c:v>17.827484136887847</c:v>
                </c:pt>
                <c:pt idx="2">
                  <c:v>17.870602815385421</c:v>
                </c:pt>
                <c:pt idx="3">
                  <c:v>17.913721493882999</c:v>
                </c:pt>
                <c:pt idx="4">
                  <c:v>17.956840172380574</c:v>
                </c:pt>
                <c:pt idx="5">
                  <c:v>17.999958850878148</c:v>
                </c:pt>
                <c:pt idx="6">
                  <c:v>18.043077529375722</c:v>
                </c:pt>
                <c:pt idx="7">
                  <c:v>18.086196207873297</c:v>
                </c:pt>
                <c:pt idx="8">
                  <c:v>18.129314886370871</c:v>
                </c:pt>
                <c:pt idx="9">
                  <c:v>18.172433564868449</c:v>
                </c:pt>
                <c:pt idx="10">
                  <c:v>18.215552243366023</c:v>
                </c:pt>
                <c:pt idx="11">
                  <c:v>18.258670921863597</c:v>
                </c:pt>
                <c:pt idx="12">
                  <c:v>18.301789600361172</c:v>
                </c:pt>
                <c:pt idx="13">
                  <c:v>18.344908278858746</c:v>
                </c:pt>
                <c:pt idx="14">
                  <c:v>18.38802695735632</c:v>
                </c:pt>
                <c:pt idx="15">
                  <c:v>18.431145635853898</c:v>
                </c:pt>
                <c:pt idx="16">
                  <c:v>18.474264314351473</c:v>
                </c:pt>
                <c:pt idx="17">
                  <c:v>18.517382992849047</c:v>
                </c:pt>
                <c:pt idx="18">
                  <c:v>18.560501671346621</c:v>
                </c:pt>
                <c:pt idx="19">
                  <c:v>18.603620349844196</c:v>
                </c:pt>
                <c:pt idx="20">
                  <c:v>18.64673902834177</c:v>
                </c:pt>
                <c:pt idx="21">
                  <c:v>18.689857706839344</c:v>
                </c:pt>
                <c:pt idx="22">
                  <c:v>18.732976385336922</c:v>
                </c:pt>
                <c:pt idx="23">
                  <c:v>18.776095063834497</c:v>
                </c:pt>
                <c:pt idx="24">
                  <c:v>18.819213742332071</c:v>
                </c:pt>
                <c:pt idx="25">
                  <c:v>18.862332420829645</c:v>
                </c:pt>
                <c:pt idx="26">
                  <c:v>18.90545109932722</c:v>
                </c:pt>
                <c:pt idx="27">
                  <c:v>18.948569777824794</c:v>
                </c:pt>
                <c:pt idx="28">
                  <c:v>18.991688456322372</c:v>
                </c:pt>
                <c:pt idx="29">
                  <c:v>19.034807134819946</c:v>
                </c:pt>
                <c:pt idx="30">
                  <c:v>19.07792581331752</c:v>
                </c:pt>
                <c:pt idx="31">
                  <c:v>19.121044491815095</c:v>
                </c:pt>
                <c:pt idx="32">
                  <c:v>19.164163170312669</c:v>
                </c:pt>
                <c:pt idx="33">
                  <c:v>19.207281848810243</c:v>
                </c:pt>
                <c:pt idx="34">
                  <c:v>19.250400527307821</c:v>
                </c:pt>
                <c:pt idx="35">
                  <c:v>19.293519205805396</c:v>
                </c:pt>
                <c:pt idx="36">
                  <c:v>19.33663788430297</c:v>
                </c:pt>
                <c:pt idx="37">
                  <c:v>19.379756562800544</c:v>
                </c:pt>
                <c:pt idx="38">
                  <c:v>19.422875241298119</c:v>
                </c:pt>
                <c:pt idx="39">
                  <c:v>19.465993919795693</c:v>
                </c:pt>
                <c:pt idx="40">
                  <c:v>19.509112598293271</c:v>
                </c:pt>
                <c:pt idx="41">
                  <c:v>19.552231276790845</c:v>
                </c:pt>
                <c:pt idx="42">
                  <c:v>19.59534995528842</c:v>
                </c:pt>
                <c:pt idx="43">
                  <c:v>19.638468633785994</c:v>
                </c:pt>
                <c:pt idx="44">
                  <c:v>19.681587312283568</c:v>
                </c:pt>
                <c:pt idx="45">
                  <c:v>19.724705990781143</c:v>
                </c:pt>
                <c:pt idx="46">
                  <c:v>19.767824669278717</c:v>
                </c:pt>
                <c:pt idx="47">
                  <c:v>19.810943347776295</c:v>
                </c:pt>
                <c:pt idx="48">
                  <c:v>19.854062026273869</c:v>
                </c:pt>
                <c:pt idx="49">
                  <c:v>19.897180704771444</c:v>
                </c:pt>
                <c:pt idx="50">
                  <c:v>19.940299383269018</c:v>
                </c:pt>
                <c:pt idx="51">
                  <c:v>19.983418061766592</c:v>
                </c:pt>
                <c:pt idx="52">
                  <c:v>20.026536740264167</c:v>
                </c:pt>
                <c:pt idx="53">
                  <c:v>20.069655418761741</c:v>
                </c:pt>
                <c:pt idx="54">
                  <c:v>20.112774097259319</c:v>
                </c:pt>
                <c:pt idx="55">
                  <c:v>20.155892775756893</c:v>
                </c:pt>
                <c:pt idx="56">
                  <c:v>20.199011454254467</c:v>
                </c:pt>
                <c:pt idx="57">
                  <c:v>20.242130132752042</c:v>
                </c:pt>
                <c:pt idx="58">
                  <c:v>20.285248811249616</c:v>
                </c:pt>
                <c:pt idx="59">
                  <c:v>20.328367489747194</c:v>
                </c:pt>
                <c:pt idx="60">
                  <c:v>20.371486168244768</c:v>
                </c:pt>
                <c:pt idx="61">
                  <c:v>20.414604846742343</c:v>
                </c:pt>
                <c:pt idx="62">
                  <c:v>20.457723525239917</c:v>
                </c:pt>
                <c:pt idx="63">
                  <c:v>20.500842203737491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D2-43C9-AFBD-570AD095D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075504"/>
        <c:axId val="429078128"/>
        <c:extLst/>
      </c:scatterChart>
      <c:valAx>
        <c:axId val="429075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9078128"/>
        <c:crosses val="autoZero"/>
        <c:crossBetween val="midCat"/>
      </c:valAx>
      <c:valAx>
        <c:axId val="42907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9075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435428</xdr:colOff>
      <xdr:row>7</xdr:row>
      <xdr:rowOff>95250</xdr:rowOff>
    </xdr:from>
    <xdr:to>
      <xdr:col>36</xdr:col>
      <xdr:colOff>312963</xdr:colOff>
      <xdr:row>41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3B00E1-93CC-4B42-B6D2-FF63B23761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149682</xdr:colOff>
      <xdr:row>7</xdr:row>
      <xdr:rowOff>190496</xdr:rowOff>
    </xdr:from>
    <xdr:to>
      <xdr:col>30</xdr:col>
      <xdr:colOff>326570</xdr:colOff>
      <xdr:row>29</xdr:row>
      <xdr:rowOff>98048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BD227F-4CEB-48ED-91D2-DFDE8D453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244932</xdr:colOff>
      <xdr:row>6</xdr:row>
      <xdr:rowOff>122460</xdr:rowOff>
    </xdr:from>
    <xdr:to>
      <xdr:col>30</xdr:col>
      <xdr:colOff>421820</xdr:colOff>
      <xdr:row>28</xdr:row>
      <xdr:rowOff>30012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BD2E20-5ACE-4234-AB31-142715282D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217717</xdr:colOff>
      <xdr:row>8</xdr:row>
      <xdr:rowOff>68032</xdr:rowOff>
    </xdr:from>
    <xdr:to>
      <xdr:col>31</xdr:col>
      <xdr:colOff>394606</xdr:colOff>
      <xdr:row>29</xdr:row>
      <xdr:rowOff>166084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EE8782-D02C-461F-9937-EF409745E6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163290</xdr:colOff>
      <xdr:row>11</xdr:row>
      <xdr:rowOff>27210</xdr:rowOff>
    </xdr:from>
    <xdr:to>
      <xdr:col>30</xdr:col>
      <xdr:colOff>340178</xdr:colOff>
      <xdr:row>32</xdr:row>
      <xdr:rowOff>125262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B53BEA-D3A4-4E8A-A1D9-565778A193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204110</xdr:colOff>
      <xdr:row>4</xdr:row>
      <xdr:rowOff>163282</xdr:rowOff>
    </xdr:from>
    <xdr:to>
      <xdr:col>22</xdr:col>
      <xdr:colOff>380999</xdr:colOff>
      <xdr:row>26</xdr:row>
      <xdr:rowOff>70834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2FBABE-2D1A-4BAE-AE3C-E9BE88E6D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110"/>
  <sheetViews>
    <sheetView tabSelected="1" topLeftCell="A48" zoomScale="70" zoomScaleNormal="70" workbookViewId="0">
      <selection activeCell="M6" sqref="M6"/>
    </sheetView>
  </sheetViews>
  <sheetFormatPr defaultRowHeight="15" x14ac:dyDescent="0.25"/>
  <cols>
    <col min="1" max="8" width="9.140625" style="1"/>
    <col min="9" max="9" width="9.140625" style="15"/>
    <col min="10" max="16384" width="9.140625" style="1"/>
  </cols>
  <sheetData>
    <row r="2" spans="3:22" x14ac:dyDescent="0.25">
      <c r="O2" s="8" t="s">
        <v>8</v>
      </c>
      <c r="P2" s="8">
        <v>0.99786973654848654</v>
      </c>
      <c r="U2" s="13" t="s">
        <v>17</v>
      </c>
      <c r="V2" s="13">
        <v>0.31705914124753276</v>
      </c>
    </row>
    <row r="3" spans="3:22" x14ac:dyDescent="0.25">
      <c r="O3" s="8" t="s">
        <v>9</v>
      </c>
      <c r="P3" s="8">
        <v>1.4081232740407049E-2</v>
      </c>
      <c r="Q3" s="1" t="s">
        <v>11</v>
      </c>
      <c r="R3" s="1">
        <f>SUM(K21:K110)</f>
        <v>43.447646122072456</v>
      </c>
      <c r="U3" s="13" t="s">
        <v>18</v>
      </c>
      <c r="V3" s="13">
        <v>58.631469926492422</v>
      </c>
    </row>
    <row r="4" spans="3:22" x14ac:dyDescent="0.25">
      <c r="O4" s="8" t="s">
        <v>10</v>
      </c>
      <c r="P4" s="8">
        <v>1</v>
      </c>
      <c r="U4" s="1" t="s">
        <v>20</v>
      </c>
      <c r="V4" s="1">
        <f>SUM(Q7:Q70)</f>
        <v>77203.370890759805</v>
      </c>
    </row>
    <row r="5" spans="3:22" x14ac:dyDescent="0.25">
      <c r="V5" s="1">
        <f>COUNT($P$2:$P$4)</f>
        <v>3</v>
      </c>
    </row>
    <row r="6" spans="3:22" x14ac:dyDescent="0.25">
      <c r="D6" s="1" t="s">
        <v>7</v>
      </c>
      <c r="E6" s="2" t="s">
        <v>0</v>
      </c>
      <c r="F6" s="1" t="s">
        <v>1</v>
      </c>
      <c r="G6" s="1" t="s">
        <v>4</v>
      </c>
      <c r="H6" s="1" t="s">
        <v>2</v>
      </c>
      <c r="I6" s="15" t="s">
        <v>3</v>
      </c>
      <c r="J6" s="1" t="s">
        <v>5</v>
      </c>
      <c r="K6" s="1" t="s">
        <v>6</v>
      </c>
      <c r="L6" s="1" t="s">
        <v>15</v>
      </c>
      <c r="M6" s="26"/>
      <c r="O6" s="8" t="s">
        <v>16</v>
      </c>
      <c r="P6" s="1" t="s">
        <v>19</v>
      </c>
      <c r="Q6" s="1" t="s">
        <v>11</v>
      </c>
    </row>
    <row r="7" spans="3:22" x14ac:dyDescent="0.25">
      <c r="C7" s="27" t="s">
        <v>21</v>
      </c>
      <c r="D7" s="1">
        <v>1</v>
      </c>
      <c r="E7" s="18">
        <v>64.139939999999996</v>
      </c>
      <c r="F7" s="3"/>
      <c r="G7" s="3"/>
      <c r="H7" s="3">
        <f t="shared" ref="H7:H21" si="0">E7/$A$44</f>
        <v>1.020460847804884</v>
      </c>
      <c r="J7" s="3"/>
      <c r="K7" s="3"/>
      <c r="L7" s="3"/>
      <c r="M7" s="14">
        <f t="shared" ref="M7:M38" si="1">AVERAGE(E7:E21)</f>
        <v>62.853895999999992</v>
      </c>
      <c r="N7" s="14"/>
      <c r="O7" s="1">
        <f>$V$2*D7+$V$3</f>
        <v>58.948529067739955</v>
      </c>
      <c r="P7" s="1">
        <f t="shared" ref="P7:P39" si="2">E7-O7</f>
        <v>5.191410932260041</v>
      </c>
      <c r="Q7" s="1">
        <f>P7*P7</f>
        <v>26.950747467589068</v>
      </c>
    </row>
    <row r="8" spans="3:22" x14ac:dyDescent="0.25">
      <c r="C8" s="27"/>
      <c r="D8" s="1">
        <v>2</v>
      </c>
      <c r="E8" s="19">
        <v>26.822157000000001</v>
      </c>
      <c r="F8" s="3"/>
      <c r="G8" s="3"/>
      <c r="H8" s="3">
        <f t="shared" si="0"/>
        <v>0.42673817705747319</v>
      </c>
      <c r="J8" s="3"/>
      <c r="K8" s="3"/>
      <c r="L8" s="3"/>
      <c r="M8" s="14">
        <f t="shared" si="1"/>
        <v>63.12818133333333</v>
      </c>
      <c r="N8" s="14"/>
      <c r="O8" s="1">
        <f t="shared" ref="O8:O70" si="3">$V$2*D8+$V$3</f>
        <v>59.265588208987488</v>
      </c>
      <c r="P8" s="1">
        <f t="shared" si="2"/>
        <v>-32.443431208987491</v>
      </c>
      <c r="Q8" s="1">
        <f t="shared" ref="Q8:Q70" si="4">P8*P8</f>
        <v>1052.5762286123036</v>
      </c>
    </row>
    <row r="9" spans="3:22" x14ac:dyDescent="0.25">
      <c r="C9" s="27"/>
      <c r="D9" s="1">
        <v>3</v>
      </c>
      <c r="E9" s="18">
        <v>61.807580000000002</v>
      </c>
      <c r="F9" s="3"/>
      <c r="G9" s="3"/>
      <c r="H9" s="3">
        <f t="shared" si="0"/>
        <v>0.98335320375367041</v>
      </c>
      <c r="J9" s="3"/>
      <c r="K9" s="3"/>
      <c r="L9" s="3"/>
      <c r="M9" s="14">
        <f t="shared" si="1"/>
        <v>66.700290199999998</v>
      </c>
      <c r="N9" s="14"/>
      <c r="O9" s="1">
        <f t="shared" si="3"/>
        <v>59.582647350235021</v>
      </c>
      <c r="P9" s="1">
        <f t="shared" si="2"/>
        <v>2.2249326497649804</v>
      </c>
      <c r="Q9" s="1">
        <f t="shared" si="4"/>
        <v>4.9503252959902166</v>
      </c>
    </row>
    <row r="10" spans="3:22" x14ac:dyDescent="0.25">
      <c r="C10" s="27"/>
      <c r="D10" s="1">
        <v>4</v>
      </c>
      <c r="E10" s="19">
        <v>13.994168999999999</v>
      </c>
      <c r="F10" s="3"/>
      <c r="G10" s="3"/>
      <c r="H10" s="3">
        <f t="shared" si="0"/>
        <v>0.22264600749649635</v>
      </c>
      <c r="J10" s="3"/>
      <c r="K10" s="3"/>
      <c r="L10" s="3"/>
      <c r="M10" s="14">
        <f t="shared" si="1"/>
        <v>67.471072199999995</v>
      </c>
      <c r="N10" s="14"/>
      <c r="O10" s="1">
        <f t="shared" si="3"/>
        <v>59.899706491482554</v>
      </c>
      <c r="P10" s="1">
        <f t="shared" si="2"/>
        <v>-45.905537491482555</v>
      </c>
      <c r="Q10" s="1">
        <f t="shared" si="4"/>
        <v>2107.3183723819106</v>
      </c>
    </row>
    <row r="11" spans="3:22" x14ac:dyDescent="0.25">
      <c r="C11" s="27"/>
      <c r="D11" s="1">
        <v>5</v>
      </c>
      <c r="E11" s="18">
        <v>103.790085</v>
      </c>
      <c r="F11" s="3"/>
      <c r="G11" s="3"/>
      <c r="H11" s="3">
        <f t="shared" si="0"/>
        <v>1.6512911944233339</v>
      </c>
      <c r="J11" s="3"/>
      <c r="K11" s="3"/>
      <c r="L11" s="3"/>
      <c r="M11" s="14">
        <f t="shared" si="1"/>
        <v>71.193139599999995</v>
      </c>
      <c r="N11" s="14"/>
      <c r="O11" s="1">
        <f t="shared" si="3"/>
        <v>60.216765632730088</v>
      </c>
      <c r="P11" s="1">
        <f t="shared" si="2"/>
        <v>43.573319367269917</v>
      </c>
      <c r="Q11" s="1">
        <f t="shared" si="4"/>
        <v>1898.6341606820997</v>
      </c>
    </row>
    <row r="12" spans="3:22" x14ac:dyDescent="0.25">
      <c r="C12" s="27"/>
      <c r="D12" s="1">
        <v>6</v>
      </c>
      <c r="E12" s="19">
        <v>63.556849999999997</v>
      </c>
      <c r="F12" s="3"/>
      <c r="G12" s="3"/>
      <c r="H12" s="3">
        <f t="shared" si="0"/>
        <v>1.0111839367920805</v>
      </c>
      <c r="J12" s="3"/>
      <c r="K12" s="3"/>
      <c r="L12" s="3"/>
      <c r="M12" s="14">
        <f t="shared" si="1"/>
        <v>66.482970133333339</v>
      </c>
      <c r="N12" s="14"/>
      <c r="O12" s="1">
        <f t="shared" si="3"/>
        <v>60.533824773977621</v>
      </c>
      <c r="P12" s="1">
        <f t="shared" si="2"/>
        <v>3.0230252260223764</v>
      </c>
      <c r="Q12" s="1">
        <f t="shared" si="4"/>
        <v>9.1386815171676403</v>
      </c>
    </row>
    <row r="13" spans="3:22" x14ac:dyDescent="0.25">
      <c r="C13" s="27"/>
      <c r="D13" s="1">
        <v>7</v>
      </c>
      <c r="E13" s="18">
        <v>43.731777000000001</v>
      </c>
      <c r="F13" s="3"/>
      <c r="G13" s="3"/>
      <c r="H13" s="3">
        <f t="shared" si="0"/>
        <v>0.6957687555278993</v>
      </c>
      <c r="J13" s="3"/>
      <c r="K13" s="3"/>
      <c r="L13" s="3"/>
      <c r="M13" s="14">
        <f t="shared" si="1"/>
        <v>71.419802133333349</v>
      </c>
      <c r="N13" s="14"/>
      <c r="O13" s="1">
        <f t="shared" si="3"/>
        <v>60.850883915225154</v>
      </c>
      <c r="P13" s="1">
        <f t="shared" si="2"/>
        <v>-17.119106915225153</v>
      </c>
      <c r="Q13" s="1">
        <f t="shared" si="4"/>
        <v>293.06382157490964</v>
      </c>
    </row>
    <row r="14" spans="3:22" x14ac:dyDescent="0.25">
      <c r="C14" s="27"/>
      <c r="D14" s="1">
        <v>8</v>
      </c>
      <c r="E14" s="19">
        <v>43.148690000000002</v>
      </c>
      <c r="F14" s="3"/>
      <c r="G14" s="3"/>
      <c r="H14" s="3">
        <f t="shared" si="0"/>
        <v>0.68649189224483409</v>
      </c>
      <c r="J14" s="3"/>
      <c r="K14" s="3"/>
      <c r="L14" s="3"/>
      <c r="M14" s="14">
        <f t="shared" si="1"/>
        <v>70.253621466666672</v>
      </c>
      <c r="N14" s="14"/>
      <c r="O14" s="1">
        <f t="shared" si="3"/>
        <v>61.16794305647268</v>
      </c>
      <c r="P14" s="1">
        <f t="shared" si="2"/>
        <v>-18.019253056472678</v>
      </c>
      <c r="Q14" s="1">
        <f t="shared" si="4"/>
        <v>324.69348071319996</v>
      </c>
    </row>
    <row r="15" spans="3:22" x14ac:dyDescent="0.25">
      <c r="C15" s="27"/>
      <c r="D15" s="1">
        <v>9</v>
      </c>
      <c r="E15" s="18">
        <v>60.641399999999997</v>
      </c>
      <c r="F15" s="3"/>
      <c r="G15" s="3"/>
      <c r="H15" s="3">
        <f t="shared" si="0"/>
        <v>0.96479938172806357</v>
      </c>
      <c r="J15" s="3"/>
      <c r="K15" s="3"/>
      <c r="L15" s="3"/>
      <c r="M15" s="14">
        <f t="shared" si="1"/>
        <v>70.292493933333347</v>
      </c>
      <c r="N15" s="14"/>
      <c r="O15" s="1">
        <f t="shared" si="3"/>
        <v>61.485002197720213</v>
      </c>
      <c r="P15" s="1">
        <f t="shared" si="2"/>
        <v>-0.84360219772021594</v>
      </c>
      <c r="Q15" s="1">
        <f t="shared" si="4"/>
        <v>0.71166466799837835</v>
      </c>
    </row>
    <row r="16" spans="3:22" x14ac:dyDescent="0.25">
      <c r="C16" s="27"/>
      <c r="D16" s="1">
        <v>10</v>
      </c>
      <c r="E16" s="19">
        <v>149.27113</v>
      </c>
      <c r="F16" s="3"/>
      <c r="G16" s="3"/>
      <c r="H16" s="3">
        <f t="shared" si="0"/>
        <v>2.3748906511698178</v>
      </c>
      <c r="J16" s="3"/>
      <c r="K16" s="3"/>
      <c r="L16" s="3"/>
      <c r="M16" s="14">
        <f t="shared" si="1"/>
        <v>69.748276200000006</v>
      </c>
      <c r="N16" s="14"/>
      <c r="O16" s="1">
        <f t="shared" si="3"/>
        <v>61.802061338967746</v>
      </c>
      <c r="P16" s="1">
        <f t="shared" si="2"/>
        <v>87.469068661032253</v>
      </c>
      <c r="Q16" s="1">
        <f t="shared" si="4"/>
        <v>7650.837972428375</v>
      </c>
    </row>
    <row r="17" spans="2:17" x14ac:dyDescent="0.25">
      <c r="C17" s="27"/>
      <c r="D17" s="1">
        <v>11</v>
      </c>
      <c r="E17" s="18">
        <v>85.984790000000004</v>
      </c>
      <c r="F17" s="3"/>
      <c r="G17" s="3"/>
      <c r="H17" s="3">
        <f t="shared" si="0"/>
        <v>1.3680105048698972</v>
      </c>
      <c r="J17" s="3"/>
      <c r="K17" s="3"/>
      <c r="L17" s="3"/>
      <c r="M17" s="14">
        <f t="shared" si="1"/>
        <v>62.284719733333333</v>
      </c>
      <c r="N17" s="14"/>
      <c r="O17" s="1">
        <f t="shared" si="3"/>
        <v>62.11912048021528</v>
      </c>
      <c r="P17" s="1">
        <f t="shared" si="2"/>
        <v>23.865669519784724</v>
      </c>
      <c r="Q17" s="1">
        <f t="shared" si="4"/>
        <v>569.57018162758163</v>
      </c>
    </row>
    <row r="18" spans="2:17" x14ac:dyDescent="0.25">
      <c r="C18" s="27"/>
      <c r="D18" s="1">
        <v>12</v>
      </c>
      <c r="E18" s="19">
        <v>33.022060000000003</v>
      </c>
      <c r="F18" s="3"/>
      <c r="G18" s="3"/>
      <c r="H18" s="3">
        <f t="shared" si="0"/>
        <v>0.52537809271202551</v>
      </c>
      <c r="J18" s="3"/>
      <c r="K18" s="3"/>
      <c r="L18" s="3"/>
      <c r="M18" s="14">
        <f t="shared" si="1"/>
        <v>60.867269066666658</v>
      </c>
      <c r="N18" s="14"/>
      <c r="O18" s="1">
        <f t="shared" si="3"/>
        <v>62.436179621462813</v>
      </c>
      <c r="P18" s="1">
        <f t="shared" si="2"/>
        <v>-29.41411962146281</v>
      </c>
      <c r="Q18" s="1">
        <f t="shared" si="4"/>
        <v>865.1904331057234</v>
      </c>
    </row>
    <row r="19" spans="2:17" x14ac:dyDescent="0.25">
      <c r="C19" s="27"/>
      <c r="D19" s="1">
        <v>13</v>
      </c>
      <c r="E19" s="18">
        <v>104.47395</v>
      </c>
      <c r="F19" s="3"/>
      <c r="G19" s="3"/>
      <c r="H19" s="3">
        <f t="shared" si="0"/>
        <v>1.6621714268913421</v>
      </c>
      <c r="J19" s="3"/>
      <c r="K19" s="3"/>
      <c r="L19" s="3"/>
      <c r="M19" s="14">
        <f t="shared" si="1"/>
        <v>60.132465066666654</v>
      </c>
      <c r="O19" s="1">
        <f t="shared" si="3"/>
        <v>62.753238762710346</v>
      </c>
      <c r="P19" s="1">
        <f t="shared" si="2"/>
        <v>41.720711237289656</v>
      </c>
      <c r="Q19" s="1">
        <f t="shared" si="4"/>
        <v>1740.6177461453074</v>
      </c>
    </row>
    <row r="20" spans="2:17" x14ac:dyDescent="0.25">
      <c r="B20" s="21"/>
      <c r="C20" s="27"/>
      <c r="D20" s="1">
        <v>14</v>
      </c>
      <c r="E20" s="19">
        <v>35.811565000000002</v>
      </c>
      <c r="F20" s="3"/>
      <c r="G20" s="3"/>
      <c r="H20" s="3">
        <f t="shared" si="0"/>
        <v>0.56975887381746404</v>
      </c>
      <c r="J20" s="3"/>
      <c r="K20" s="3"/>
      <c r="L20" s="3"/>
      <c r="M20" s="14">
        <f t="shared" si="1"/>
        <v>56.434201733333325</v>
      </c>
      <c r="O20" s="1">
        <f t="shared" si="3"/>
        <v>63.070297903957879</v>
      </c>
      <c r="P20" s="1">
        <f t="shared" si="2"/>
        <v>-27.258732903957878</v>
      </c>
      <c r="Q20" s="1">
        <f t="shared" si="4"/>
        <v>743.03851952931586</v>
      </c>
    </row>
    <row r="21" spans="2:17" x14ac:dyDescent="0.25">
      <c r="B21" s="21"/>
      <c r="C21" s="27"/>
      <c r="D21" s="1">
        <v>15</v>
      </c>
      <c r="E21" s="18">
        <v>52.612296999999998</v>
      </c>
      <c r="F21" s="3">
        <f>V3</f>
        <v>58.631469926492422</v>
      </c>
      <c r="G21" s="3">
        <f>V2</f>
        <v>0.31705914124753276</v>
      </c>
      <c r="H21" s="3">
        <f t="shared" si="0"/>
        <v>0.83705705371071992</v>
      </c>
      <c r="J21" s="7"/>
      <c r="K21" s="7"/>
      <c r="L21" s="3"/>
      <c r="M21" s="14">
        <f t="shared" si="1"/>
        <v>57.31343073333332</v>
      </c>
      <c r="O21" s="1">
        <f t="shared" si="3"/>
        <v>63.387357045205412</v>
      </c>
      <c r="P21" s="1">
        <f t="shared" si="2"/>
        <v>-10.775060045205414</v>
      </c>
      <c r="Q21" s="1">
        <f t="shared" si="4"/>
        <v>116.10191897778211</v>
      </c>
    </row>
    <row r="22" spans="2:17" x14ac:dyDescent="0.25">
      <c r="B22" s="21"/>
      <c r="C22" s="27"/>
      <c r="D22" s="1">
        <v>16</v>
      </c>
      <c r="E22" s="19">
        <v>68.254220000000004</v>
      </c>
      <c r="F22" s="6">
        <f t="shared" ref="F22:F53" si="5">$P$2*(E22/H7)+(1-$P$2)*(F21+G21)</f>
        <v>66.868774008152286</v>
      </c>
      <c r="G22" s="11">
        <f>$P$3*(F22-F21)+(1-$P$3)*G21</f>
        <v>0.42858595361451018</v>
      </c>
      <c r="H22" s="6">
        <f t="shared" ref="H22:H53" si="6">$P$4*(E22/F22)+(1-$P$4)*H7</f>
        <v>1.0207188783164891</v>
      </c>
      <c r="I22" s="15">
        <f>(F22+(G22))*H7</f>
        <v>68.674321001615013</v>
      </c>
      <c r="J22" s="7">
        <f t="shared" ref="J22:J53" si="7">E22-I22</f>
        <v>-0.4201010016150093</v>
      </c>
      <c r="K22" s="7">
        <f t="shared" ref="K22:K23" si="8">ABS(J22)</f>
        <v>0.4201010016150093</v>
      </c>
      <c r="L22" s="3"/>
      <c r="M22" s="14">
        <f t="shared" si="1"/>
        <v>55.672610933333324</v>
      </c>
      <c r="O22" s="1">
        <f t="shared" si="3"/>
        <v>63.704416186452946</v>
      </c>
      <c r="P22" s="1">
        <f t="shared" si="2"/>
        <v>4.549803813547058</v>
      </c>
      <c r="Q22" s="1">
        <f t="shared" si="4"/>
        <v>20.700714741767353</v>
      </c>
    </row>
    <row r="23" spans="2:17" x14ac:dyDescent="0.25">
      <c r="B23" s="21"/>
      <c r="C23" s="27"/>
      <c r="D23" s="1">
        <v>17</v>
      </c>
      <c r="E23" s="18">
        <v>80.403790000000001</v>
      </c>
      <c r="F23" s="6">
        <f t="shared" si="5"/>
        <v>188.15679195994105</v>
      </c>
      <c r="G23" s="11">
        <f t="shared" ref="G23:G86" si="9">$P$3*(F23-F22)+(1-$P$3)*G22</f>
        <v>2.1304357444542008</v>
      </c>
      <c r="H23" s="6">
        <f t="shared" si="6"/>
        <v>0.42732334646265718</v>
      </c>
      <c r="I23" s="15">
        <f t="shared" ref="I23:I86" si="10">(F23+(G23))*H8</f>
        <v>81.202824667893935</v>
      </c>
      <c r="J23" s="7">
        <f t="shared" si="7"/>
        <v>-0.79903466789393462</v>
      </c>
      <c r="K23" s="7">
        <f t="shared" si="8"/>
        <v>0.79903466789393462</v>
      </c>
      <c r="L23" s="3"/>
      <c r="M23" s="14">
        <f t="shared" si="1"/>
        <v>59.455662933333329</v>
      </c>
      <c r="O23" s="1">
        <f t="shared" si="3"/>
        <v>64.021475327700472</v>
      </c>
      <c r="P23" s="1">
        <f t="shared" si="2"/>
        <v>16.382314672299529</v>
      </c>
      <c r="Q23" s="1">
        <f t="shared" si="4"/>
        <v>268.38023402224042</v>
      </c>
    </row>
    <row r="24" spans="2:17" x14ac:dyDescent="0.25">
      <c r="B24" s="21"/>
      <c r="C24" s="27"/>
      <c r="D24" s="1">
        <v>18</v>
      </c>
      <c r="E24" s="19">
        <v>73.369309999999999</v>
      </c>
      <c r="F24" s="6">
        <f t="shared" si="5"/>
        <v>74.857770034739687</v>
      </c>
      <c r="G24" s="11">
        <f t="shared" si="9"/>
        <v>0.50504668590881741</v>
      </c>
      <c r="H24" s="6">
        <f t="shared" si="6"/>
        <v>0.98011615849565203</v>
      </c>
      <c r="I24" s="15">
        <f t="shared" si="10"/>
        <v>74.108267266150392</v>
      </c>
      <c r="J24" s="7">
        <f t="shared" si="7"/>
        <v>-0.73895726615039337</v>
      </c>
      <c r="K24" s="7">
        <f>ABS(J24)</f>
        <v>0.73895726615039337</v>
      </c>
      <c r="M24" s="14">
        <f t="shared" si="1"/>
        <v>58.295410266666671</v>
      </c>
      <c r="O24" s="1">
        <f t="shared" si="3"/>
        <v>64.338534468948012</v>
      </c>
      <c r="P24" s="1">
        <f t="shared" si="2"/>
        <v>9.0307755310519866</v>
      </c>
      <c r="Q24" s="1">
        <f t="shared" si="4"/>
        <v>81.554906692247286</v>
      </c>
    </row>
    <row r="25" spans="2:17" x14ac:dyDescent="0.25">
      <c r="B25" s="21"/>
      <c r="C25" s="27"/>
      <c r="D25" s="1">
        <v>19</v>
      </c>
      <c r="E25" s="18">
        <v>69.825180000000003</v>
      </c>
      <c r="F25" s="6">
        <f t="shared" si="5"/>
        <v>313.1076947477161</v>
      </c>
      <c r="G25" s="11">
        <f t="shared" si="9"/>
        <v>3.8527876462476418</v>
      </c>
      <c r="H25" s="6">
        <f t="shared" si="6"/>
        <v>0.22300691158759628</v>
      </c>
      <c r="I25" s="15">
        <f t="shared" si="10"/>
        <v>70.569985939179546</v>
      </c>
      <c r="J25" s="7">
        <f t="shared" si="7"/>
        <v>-0.74480593917954252</v>
      </c>
      <c r="K25" s="7">
        <f t="shared" ref="K25:K88" si="11">ABS(J25)</f>
        <v>0.74480593917954252</v>
      </c>
      <c r="M25" s="14">
        <f t="shared" si="1"/>
        <v>58.804122933333339</v>
      </c>
      <c r="O25" s="1">
        <f t="shared" si="3"/>
        <v>64.655593610195538</v>
      </c>
      <c r="P25" s="1">
        <f t="shared" si="2"/>
        <v>5.1695863898044649</v>
      </c>
      <c r="Q25" s="1">
        <f t="shared" si="4"/>
        <v>26.724623441651563</v>
      </c>
    </row>
    <row r="26" spans="2:17" x14ac:dyDescent="0.25">
      <c r="B26" s="21"/>
      <c r="C26" s="27"/>
      <c r="D26" s="1">
        <v>20</v>
      </c>
      <c r="E26" s="19">
        <v>33.137543000000001</v>
      </c>
      <c r="F26" s="6">
        <f t="shared" si="5"/>
        <v>20.700115547000081</v>
      </c>
      <c r="G26" s="11">
        <f t="shared" si="9"/>
        <v>-0.31892353108282512</v>
      </c>
      <c r="H26" s="6">
        <f t="shared" si="6"/>
        <v>1.6008385520728354</v>
      </c>
      <c r="I26" s="15">
        <f t="shared" si="10"/>
        <v>33.655282907735327</v>
      </c>
      <c r="J26" s="7">
        <f t="shared" si="7"/>
        <v>-0.51773990773532574</v>
      </c>
      <c r="K26" s="7">
        <f t="shared" si="11"/>
        <v>0.51773990773532574</v>
      </c>
      <c r="M26" s="14">
        <f t="shared" si="1"/>
        <v>58.349110933333336</v>
      </c>
      <c r="O26" s="1">
        <f t="shared" si="3"/>
        <v>64.972652751443079</v>
      </c>
      <c r="P26" s="1">
        <f t="shared" si="2"/>
        <v>-31.835109751443078</v>
      </c>
      <c r="Q26" s="1">
        <f t="shared" si="4"/>
        <v>1013.4742128864261</v>
      </c>
    </row>
    <row r="27" spans="2:17" x14ac:dyDescent="0.25">
      <c r="B27" s="21"/>
      <c r="C27" s="27"/>
      <c r="D27" s="1">
        <v>21</v>
      </c>
      <c r="E27" s="18">
        <v>137.60933</v>
      </c>
      <c r="F27" s="6">
        <f t="shared" si="5"/>
        <v>135.84085324215437</v>
      </c>
      <c r="G27" s="11">
        <f t="shared" si="9"/>
        <v>1.3068908307723712</v>
      </c>
      <c r="H27" s="6">
        <f t="shared" si="6"/>
        <v>1.0130187400596866</v>
      </c>
      <c r="I27" s="15">
        <f t="shared" si="10"/>
        <v>138.68159577381479</v>
      </c>
      <c r="J27" s="7">
        <f t="shared" si="7"/>
        <v>-1.0722657738147916</v>
      </c>
      <c r="K27" s="7">
        <f t="shared" si="11"/>
        <v>1.0722657738147916</v>
      </c>
      <c r="M27" s="14">
        <f t="shared" si="1"/>
        <v>64.539941400000004</v>
      </c>
      <c r="O27" s="1">
        <f t="shared" si="3"/>
        <v>65.289711892690605</v>
      </c>
      <c r="P27" s="1">
        <f t="shared" si="2"/>
        <v>72.319618107309395</v>
      </c>
      <c r="Q27" s="1">
        <f t="shared" si="4"/>
        <v>5230.1271631870732</v>
      </c>
    </row>
    <row r="28" spans="2:17" x14ac:dyDescent="0.25">
      <c r="B28" s="21"/>
      <c r="C28" s="27"/>
      <c r="D28" s="1">
        <v>22</v>
      </c>
      <c r="E28" s="19">
        <v>26.239066999999999</v>
      </c>
      <c r="F28" s="6">
        <f t="shared" si="5"/>
        <v>37.92416235955357</v>
      </c>
      <c r="G28" s="11">
        <f t="shared" si="9"/>
        <v>-9.0299516670433011E-2</v>
      </c>
      <c r="H28" s="6">
        <f t="shared" si="6"/>
        <v>0.69188257215099835</v>
      </c>
      <c r="I28" s="15">
        <f t="shared" si="10"/>
        <v>26.323619667006028</v>
      </c>
      <c r="J28" s="7">
        <f t="shared" si="7"/>
        <v>-8.455266700602948E-2</v>
      </c>
      <c r="K28" s="7">
        <f t="shared" si="11"/>
        <v>8.455266700602948E-2</v>
      </c>
      <c r="M28" s="14">
        <f t="shared" si="1"/>
        <v>62.499319399999997</v>
      </c>
      <c r="O28" s="1">
        <f t="shared" si="3"/>
        <v>65.606771033938145</v>
      </c>
      <c r="P28" s="1">
        <f t="shared" si="2"/>
        <v>-39.367704033938146</v>
      </c>
      <c r="Q28" s="1">
        <f t="shared" si="4"/>
        <v>1549.8161209037498</v>
      </c>
    </row>
    <row r="29" spans="2:17" x14ac:dyDescent="0.25">
      <c r="B29" s="21"/>
      <c r="C29" s="27"/>
      <c r="D29" s="1">
        <v>23</v>
      </c>
      <c r="E29" s="18">
        <v>43.731777000000001</v>
      </c>
      <c r="F29" s="6">
        <f t="shared" si="5"/>
        <v>63.648159364037127</v>
      </c>
      <c r="G29" s="11">
        <f t="shared" si="9"/>
        <v>0.27319760067381638</v>
      </c>
      <c r="H29" s="6">
        <f t="shared" si="6"/>
        <v>0.68708627927282373</v>
      </c>
      <c r="I29" s="15">
        <f t="shared" si="10"/>
        <v>43.881493297561924</v>
      </c>
      <c r="J29" s="7">
        <f t="shared" si="7"/>
        <v>-0.14971629756192328</v>
      </c>
      <c r="K29" s="7">
        <f t="shared" si="11"/>
        <v>0.14971629756192328</v>
      </c>
      <c r="M29" s="14">
        <f t="shared" si="1"/>
        <v>64.016714933333333</v>
      </c>
      <c r="O29" s="1">
        <f t="shared" si="3"/>
        <v>65.923830175185671</v>
      </c>
      <c r="P29" s="1">
        <f t="shared" si="2"/>
        <v>-22.19205317518567</v>
      </c>
      <c r="Q29" s="1">
        <f t="shared" si="4"/>
        <v>492.48722413026837</v>
      </c>
    </row>
    <row r="30" spans="2:17" x14ac:dyDescent="0.25">
      <c r="B30" s="21"/>
      <c r="C30" s="27"/>
      <c r="D30" s="1">
        <v>24</v>
      </c>
      <c r="E30" s="19">
        <v>52.478133999999997</v>
      </c>
      <c r="F30" s="6">
        <f t="shared" si="5"/>
        <v>54.413092327024735</v>
      </c>
      <c r="G30" s="11">
        <f t="shared" si="9"/>
        <v>0.13930951335317479</v>
      </c>
      <c r="H30" s="6">
        <f t="shared" si="6"/>
        <v>0.96443947137950614</v>
      </c>
      <c r="I30" s="15">
        <f t="shared" si="10"/>
        <v>52.632123567377484</v>
      </c>
      <c r="J30" s="7">
        <f t="shared" si="7"/>
        <v>-0.15398956737748648</v>
      </c>
      <c r="K30" s="7">
        <f t="shared" si="11"/>
        <v>0.15398956737748648</v>
      </c>
      <c r="M30" s="14">
        <f t="shared" si="1"/>
        <v>62.901263133333337</v>
      </c>
      <c r="O30" s="1">
        <f t="shared" si="3"/>
        <v>66.240889316433211</v>
      </c>
      <c r="P30" s="1">
        <f t="shared" si="2"/>
        <v>-13.762755316433214</v>
      </c>
      <c r="Q30" s="1">
        <f t="shared" si="4"/>
        <v>189.41343390001069</v>
      </c>
    </row>
    <row r="31" spans="2:17" x14ac:dyDescent="0.25">
      <c r="B31" s="21"/>
      <c r="C31" s="27"/>
      <c r="D31" s="1">
        <v>25</v>
      </c>
      <c r="E31" s="18">
        <v>37.317782999999999</v>
      </c>
      <c r="F31" s="6">
        <f t="shared" si="5"/>
        <v>15.796211358561838</v>
      </c>
      <c r="G31" s="11">
        <f t="shared" si="9"/>
        <v>-0.40642542495282563</v>
      </c>
      <c r="H31" s="6">
        <f t="shared" si="6"/>
        <v>2.3624514861769734</v>
      </c>
      <c r="I31" s="15">
        <f t="shared" si="10"/>
        <v>36.549058737232812</v>
      </c>
      <c r="J31" s="7">
        <f t="shared" si="7"/>
        <v>0.76872426276718642</v>
      </c>
      <c r="K31" s="7">
        <f t="shared" si="11"/>
        <v>0.76872426276718642</v>
      </c>
      <c r="M31" s="14">
        <f t="shared" si="1"/>
        <v>62.202720866666667</v>
      </c>
      <c r="O31" s="1">
        <f t="shared" si="3"/>
        <v>66.557948457680737</v>
      </c>
      <c r="P31" s="1">
        <f t="shared" si="2"/>
        <v>-29.240165457680739</v>
      </c>
      <c r="Q31" s="1">
        <f t="shared" si="4"/>
        <v>854.98727599254585</v>
      </c>
    </row>
    <row r="32" spans="2:17" x14ac:dyDescent="0.25">
      <c r="B32" s="21"/>
      <c r="C32" s="27"/>
      <c r="D32" s="1">
        <v>26</v>
      </c>
      <c r="E32" s="19">
        <v>64.723029999999994</v>
      </c>
      <c r="F32" s="6">
        <f t="shared" si="5"/>
        <v>47.24379084034188</v>
      </c>
      <c r="G32" s="11">
        <f t="shared" si="9"/>
        <v>4.2118231852948051E-2</v>
      </c>
      <c r="H32" s="6">
        <f t="shared" si="6"/>
        <v>1.3699796068170813</v>
      </c>
      <c r="I32" s="15">
        <f t="shared" si="10"/>
        <v>64.6876203430853</v>
      </c>
      <c r="J32" s="7">
        <f t="shared" si="7"/>
        <v>3.5409656914694665E-2</v>
      </c>
      <c r="K32" s="7">
        <f t="shared" si="11"/>
        <v>3.5409656914694665E-2</v>
      </c>
      <c r="M32" s="14">
        <f t="shared" si="1"/>
        <v>65.048202000000003</v>
      </c>
      <c r="O32" s="1">
        <f t="shared" si="3"/>
        <v>66.875007598928278</v>
      </c>
      <c r="P32" s="1">
        <f t="shared" si="2"/>
        <v>-2.1519775989282834</v>
      </c>
      <c r="Q32" s="1">
        <f t="shared" si="4"/>
        <v>4.6310075862891402</v>
      </c>
    </row>
    <row r="33" spans="1:17" x14ac:dyDescent="0.25">
      <c r="B33" s="21"/>
      <c r="C33" s="28" t="s">
        <v>22</v>
      </c>
      <c r="D33" s="1">
        <v>27</v>
      </c>
      <c r="E33" s="18">
        <v>22</v>
      </c>
      <c r="F33" s="7">
        <f t="shared" si="5"/>
        <v>41.886132298219721</v>
      </c>
      <c r="G33" s="10">
        <f>$P$3*(F33-F32)+(1-$P$3)*G32</f>
        <v>-3.391728164763979E-2</v>
      </c>
      <c r="H33" s="7">
        <f t="shared" si="6"/>
        <v>0.52523350314049078</v>
      </c>
      <c r="I33" s="15">
        <f t="shared" si="10"/>
        <v>21.988236901180233</v>
      </c>
      <c r="J33" s="7">
        <f t="shared" si="7"/>
        <v>1.1763098819766782E-2</v>
      </c>
      <c r="K33" s="7">
        <f t="shared" si="11"/>
        <v>1.1763098819766782E-2</v>
      </c>
      <c r="M33" s="14">
        <f t="shared" si="1"/>
        <v>63.133333333333333</v>
      </c>
      <c r="O33" s="1">
        <f t="shared" si="3"/>
        <v>67.192066740175804</v>
      </c>
      <c r="P33" s="1">
        <f t="shared" si="2"/>
        <v>-45.192066740175804</v>
      </c>
      <c r="Q33" s="1">
        <f t="shared" si="4"/>
        <v>2042.3228962485041</v>
      </c>
    </row>
    <row r="34" spans="1:17" x14ac:dyDescent="0.25">
      <c r="B34" s="21"/>
      <c r="C34" s="28"/>
      <c r="D34" s="1">
        <v>28</v>
      </c>
      <c r="E34" s="19">
        <v>49</v>
      </c>
      <c r="F34" s="7">
        <f t="shared" si="5"/>
        <v>29.505867601111184</v>
      </c>
      <c r="G34" s="10">
        <f t="shared" si="9"/>
        <v>-0.20776907309866771</v>
      </c>
      <c r="H34" s="7">
        <f t="shared" si="6"/>
        <v>1.6606866357034242</v>
      </c>
      <c r="I34" s="15">
        <f t="shared" si="10"/>
        <v>48.698462235509695</v>
      </c>
      <c r="J34" s="7">
        <f t="shared" si="7"/>
        <v>0.30153776449030545</v>
      </c>
      <c r="K34" s="7">
        <f t="shared" si="11"/>
        <v>0.30153776449030545</v>
      </c>
      <c r="M34" s="14">
        <f t="shared" si="1"/>
        <v>71.333333333333329</v>
      </c>
      <c r="O34" s="1">
        <f t="shared" si="3"/>
        <v>67.509125881423344</v>
      </c>
      <c r="P34" s="1">
        <f t="shared" si="2"/>
        <v>-18.509125881423344</v>
      </c>
      <c r="Q34" s="1">
        <f t="shared" si="4"/>
        <v>342.58774089437549</v>
      </c>
    </row>
    <row r="35" spans="1:17" x14ac:dyDescent="0.25">
      <c r="B35" s="21"/>
      <c r="C35" s="28"/>
      <c r="D35" s="1">
        <v>29</v>
      </c>
      <c r="E35" s="18">
        <v>49</v>
      </c>
      <c r="F35" s="7">
        <f t="shared" si="5"/>
        <v>85.880500526025457</v>
      </c>
      <c r="G35" s="10">
        <f t="shared" si="9"/>
        <v>0.58898089844662527</v>
      </c>
      <c r="H35" s="7">
        <f t="shared" si="6"/>
        <v>0.57056025174365288</v>
      </c>
      <c r="I35" s="15">
        <f t="shared" si="10"/>
        <v>49.266754355987338</v>
      </c>
      <c r="J35" s="7">
        <f t="shared" si="7"/>
        <v>-0.26675435598733799</v>
      </c>
      <c r="K35" s="7">
        <f t="shared" si="11"/>
        <v>0.26675435598733799</v>
      </c>
      <c r="M35" s="14">
        <f t="shared" si="1"/>
        <v>71.333333333333329</v>
      </c>
      <c r="O35" s="1">
        <f t="shared" si="3"/>
        <v>67.82618502267087</v>
      </c>
      <c r="P35" s="1">
        <f t="shared" si="2"/>
        <v>-18.82618502267087</v>
      </c>
      <c r="Q35" s="1">
        <f t="shared" si="4"/>
        <v>354.42524250783697</v>
      </c>
    </row>
    <row r="36" spans="1:17" x14ac:dyDescent="0.25">
      <c r="B36" s="21"/>
      <c r="C36" s="28"/>
      <c r="D36" s="1">
        <v>30</v>
      </c>
      <c r="E36" s="19">
        <v>28</v>
      </c>
      <c r="F36" s="7">
        <f t="shared" si="5"/>
        <v>33.563471846673913</v>
      </c>
      <c r="G36" s="10">
        <f t="shared" si="9"/>
        <v>-0.15600093578455532</v>
      </c>
      <c r="H36" s="7">
        <f t="shared" si="6"/>
        <v>0.83424027549684954</v>
      </c>
      <c r="I36" s="15">
        <f t="shared" si="10"/>
        <v>27.963959172595626</v>
      </c>
      <c r="J36" s="7">
        <f t="shared" si="7"/>
        <v>3.6040827404374198E-2</v>
      </c>
      <c r="K36" s="7">
        <f t="shared" si="11"/>
        <v>3.6040827404374198E-2</v>
      </c>
      <c r="M36" s="14">
        <f t="shared" si="1"/>
        <v>71.599999999999994</v>
      </c>
      <c r="O36" s="1">
        <f t="shared" si="3"/>
        <v>68.143244163918411</v>
      </c>
      <c r="P36" s="1">
        <f t="shared" si="2"/>
        <v>-40.143244163918411</v>
      </c>
      <c r="Q36" s="1">
        <f t="shared" si="4"/>
        <v>1611.4800520039696</v>
      </c>
    </row>
    <row r="37" spans="1:17" x14ac:dyDescent="0.25">
      <c r="B37" s="21"/>
      <c r="C37" s="28"/>
      <c r="D37" s="1">
        <v>31</v>
      </c>
      <c r="E37" s="18">
        <v>125</v>
      </c>
      <c r="F37" s="7">
        <f t="shared" si="5"/>
        <v>122.27299889190964</v>
      </c>
      <c r="G37" s="10">
        <f t="shared" si="9"/>
        <v>1.0953352463153461</v>
      </c>
      <c r="H37" s="7">
        <f t="shared" si="6"/>
        <v>1.0223025617495574</v>
      </c>
      <c r="I37" s="15">
        <f t="shared" si="10"/>
        <v>125.92438764134283</v>
      </c>
      <c r="J37" s="7">
        <f t="shared" si="7"/>
        <v>-0.92438764134283247</v>
      </c>
      <c r="K37" s="7">
        <f t="shared" si="11"/>
        <v>0.92438764134283247</v>
      </c>
      <c r="M37" s="14">
        <f t="shared" si="1"/>
        <v>82.533333333333331</v>
      </c>
      <c r="O37" s="1">
        <f t="shared" si="3"/>
        <v>68.460303305165937</v>
      </c>
      <c r="P37" s="1">
        <f t="shared" si="2"/>
        <v>56.539696694834063</v>
      </c>
      <c r="Q37" s="1">
        <f t="shared" si="4"/>
        <v>3196.7373023438299</v>
      </c>
    </row>
    <row r="38" spans="1:17" x14ac:dyDescent="0.25">
      <c r="B38" s="21"/>
      <c r="C38" s="28"/>
      <c r="D38" s="1">
        <v>32</v>
      </c>
      <c r="E38" s="19">
        <v>63</v>
      </c>
      <c r="F38" s="7">
        <f t="shared" si="5"/>
        <v>147.37808620419833</v>
      </c>
      <c r="G38" s="10">
        <f t="shared" si="9"/>
        <v>1.4334221531957856</v>
      </c>
      <c r="H38" s="7">
        <f t="shared" si="6"/>
        <v>0.42747196426957901</v>
      </c>
      <c r="I38" s="15">
        <f t="shared" si="10"/>
        <v>63.590631743437328</v>
      </c>
      <c r="J38" s="7">
        <f t="shared" si="7"/>
        <v>-0.59063174343732783</v>
      </c>
      <c r="K38" s="7">
        <f t="shared" si="11"/>
        <v>0.59063174343732783</v>
      </c>
      <c r="M38" s="14">
        <f t="shared" si="1"/>
        <v>77.933333333333337</v>
      </c>
      <c r="O38" s="1">
        <f t="shared" si="3"/>
        <v>68.777362446413463</v>
      </c>
      <c r="P38" s="1">
        <f t="shared" si="2"/>
        <v>-5.7773624464134627</v>
      </c>
      <c r="Q38" s="1">
        <f t="shared" si="4"/>
        <v>33.377916837228554</v>
      </c>
    </row>
    <row r="39" spans="1:17" x14ac:dyDescent="0.25">
      <c r="B39" s="21"/>
      <c r="C39" s="28"/>
      <c r="D39" s="1">
        <v>33</v>
      </c>
      <c r="E39" s="18">
        <v>81</v>
      </c>
      <c r="F39" s="7">
        <f t="shared" si="5"/>
        <v>82.784221383691118</v>
      </c>
      <c r="G39" s="10">
        <f t="shared" si="9"/>
        <v>0.50367655810142709</v>
      </c>
      <c r="H39" s="7">
        <f t="shared" si="6"/>
        <v>0.97844732542181501</v>
      </c>
      <c r="I39" s="15">
        <f t="shared" si="10"/>
        <v>81.631814579887632</v>
      </c>
      <c r="J39" s="7">
        <f t="shared" si="7"/>
        <v>-0.63181457988763157</v>
      </c>
      <c r="K39" s="7">
        <f t="shared" si="11"/>
        <v>0.63181457988763157</v>
      </c>
      <c r="M39" s="14">
        <f t="shared" ref="M39:M68" si="12">AVERAGE(E39:E53)</f>
        <v>77.86666666666666</v>
      </c>
      <c r="O39" s="1">
        <f t="shared" si="3"/>
        <v>69.094421587661003</v>
      </c>
      <c r="P39" s="1">
        <f t="shared" si="2"/>
        <v>11.905578412338997</v>
      </c>
      <c r="Q39" s="1">
        <f t="shared" si="4"/>
        <v>141.74279733235235</v>
      </c>
    </row>
    <row r="40" spans="1:17" x14ac:dyDescent="0.25">
      <c r="B40" s="21"/>
      <c r="C40" s="28"/>
      <c r="D40" s="1">
        <v>34</v>
      </c>
      <c r="E40" s="19">
        <v>63</v>
      </c>
      <c r="F40" s="7">
        <f t="shared" si="5"/>
        <v>282.07807548564062</v>
      </c>
      <c r="G40" s="10">
        <f t="shared" si="9"/>
        <v>3.3028873146031907</v>
      </c>
      <c r="H40" s="7">
        <f t="shared" si="6"/>
        <v>0.22334241997197354</v>
      </c>
      <c r="I40" s="15">
        <f t="shared" si="10"/>
        <v>63.641927139977078</v>
      </c>
      <c r="J40" s="9">
        <f t="shared" si="7"/>
        <v>-0.64192713997707784</v>
      </c>
      <c r="K40" s="9">
        <f t="shared" si="11"/>
        <v>0.64192713997707784</v>
      </c>
      <c r="M40" s="14">
        <f t="shared" si="12"/>
        <v>77.400000000000006</v>
      </c>
      <c r="O40" s="1">
        <f t="shared" si="3"/>
        <v>69.411480728908543</v>
      </c>
      <c r="P40" s="1">
        <f t="shared" ref="P40:P70" si="13">E40-O40</f>
        <v>-6.4114807289085434</v>
      </c>
      <c r="Q40" s="1">
        <f t="shared" si="4"/>
        <v>41.107085137165626</v>
      </c>
    </row>
    <row r="41" spans="1:17" x14ac:dyDescent="0.25">
      <c r="B41" s="21"/>
      <c r="C41" s="28"/>
      <c r="D41" s="1">
        <v>35</v>
      </c>
      <c r="E41" s="18">
        <v>126</v>
      </c>
      <c r="F41" s="7">
        <f t="shared" si="5"/>
        <v>79.149015397754781</v>
      </c>
      <c r="G41" s="10">
        <f t="shared" si="9"/>
        <v>0.39888726472135794</v>
      </c>
      <c r="H41" s="7">
        <f t="shared" si="6"/>
        <v>1.5919338903560667</v>
      </c>
      <c r="I41" s="15">
        <f t="shared" si="10"/>
        <v>127.34334931862914</v>
      </c>
      <c r="J41" s="9">
        <f t="shared" si="7"/>
        <v>-1.3433493186291372</v>
      </c>
      <c r="K41" s="9">
        <f t="shared" si="11"/>
        <v>1.3433493186291372</v>
      </c>
      <c r="M41" s="14">
        <f t="shared" si="12"/>
        <v>79</v>
      </c>
      <c r="O41" s="1">
        <f t="shared" si="3"/>
        <v>69.728539870156069</v>
      </c>
      <c r="P41" s="1">
        <f t="shared" si="13"/>
        <v>56.271460129843931</v>
      </c>
      <c r="Q41" s="1">
        <f t="shared" si="4"/>
        <v>3166.4772251446152</v>
      </c>
    </row>
    <row r="42" spans="1:17" x14ac:dyDescent="0.25">
      <c r="B42" s="21"/>
      <c r="C42" s="28"/>
      <c r="D42" s="1">
        <v>36</v>
      </c>
      <c r="E42" s="19">
        <v>107</v>
      </c>
      <c r="F42" s="7">
        <f t="shared" si="5"/>
        <v>105.56934605532784</v>
      </c>
      <c r="G42" s="10">
        <f t="shared" si="9"/>
        <v>0.76530126537743004</v>
      </c>
      <c r="H42" s="7">
        <f t="shared" si="6"/>
        <v>1.0135517931874123</v>
      </c>
      <c r="I42" s="15">
        <f t="shared" si="10"/>
        <v>107.71899045351199</v>
      </c>
      <c r="J42" s="9">
        <f t="shared" si="7"/>
        <v>-0.7189904535119922</v>
      </c>
      <c r="K42" s="9">
        <f t="shared" si="11"/>
        <v>0.7189904535119922</v>
      </c>
      <c r="M42" s="14">
        <f t="shared" si="12"/>
        <v>75.666666666666671</v>
      </c>
      <c r="O42" s="1">
        <f t="shared" si="3"/>
        <v>70.045599011403596</v>
      </c>
      <c r="P42" s="1">
        <f t="shared" si="13"/>
        <v>36.954400988596404</v>
      </c>
      <c r="Q42" s="1">
        <f t="shared" si="4"/>
        <v>1365.6277524259749</v>
      </c>
    </row>
    <row r="43" spans="1:17" x14ac:dyDescent="0.25">
      <c r="B43" s="21"/>
      <c r="C43" s="28"/>
      <c r="D43" s="1">
        <v>37</v>
      </c>
      <c r="E43" s="18">
        <v>49</v>
      </c>
      <c r="F43" s="7">
        <f t="shared" si="5"/>
        <v>70.896919315360336</v>
      </c>
      <c r="G43" s="10">
        <f t="shared" si="9"/>
        <v>0.26629436954292718</v>
      </c>
      <c r="H43" s="7">
        <f t="shared" si="6"/>
        <v>0.691144276411229</v>
      </c>
      <c r="I43" s="15">
        <f t="shared" si="10"/>
        <v>49.236587326841999</v>
      </c>
      <c r="J43" s="9">
        <f t="shared" si="7"/>
        <v>-0.2365873268419989</v>
      </c>
      <c r="K43" s="9">
        <f t="shared" si="11"/>
        <v>0.2365873268419989</v>
      </c>
      <c r="M43" s="14">
        <f t="shared" si="12"/>
        <v>75.933333333333337</v>
      </c>
      <c r="O43" s="1">
        <f t="shared" si="3"/>
        <v>70.362658152651136</v>
      </c>
      <c r="P43" s="1">
        <f t="shared" si="13"/>
        <v>-21.362658152651136</v>
      </c>
      <c r="Q43" s="1">
        <f t="shared" si="4"/>
        <v>456.36316334703201</v>
      </c>
    </row>
    <row r="44" spans="1:17" x14ac:dyDescent="0.25">
      <c r="A44" s="1">
        <f>AVERAGE(E7:E21)</f>
        <v>62.853895999999992</v>
      </c>
      <c r="B44" s="21"/>
      <c r="C44" s="28"/>
      <c r="D44" s="1">
        <v>38</v>
      </c>
      <c r="E44" s="19">
        <v>27</v>
      </c>
      <c r="F44" s="7">
        <f t="shared" si="5"/>
        <v>39.364259634455841</v>
      </c>
      <c r="G44" s="10">
        <f t="shared" si="9"/>
        <v>-0.1814741033429324</v>
      </c>
      <c r="H44" s="7">
        <f t="shared" si="6"/>
        <v>0.68590137984880806</v>
      </c>
      <c r="I44" s="15">
        <f t="shared" si="10"/>
        <v>26.921954322117397</v>
      </c>
      <c r="J44" s="9">
        <f t="shared" si="7"/>
        <v>7.804567788260286E-2</v>
      </c>
      <c r="K44" s="9">
        <f t="shared" si="11"/>
        <v>7.804567788260286E-2</v>
      </c>
      <c r="M44" s="14">
        <f t="shared" si="12"/>
        <v>80.8</v>
      </c>
      <c r="O44" s="1">
        <f t="shared" si="3"/>
        <v>70.679717293898662</v>
      </c>
      <c r="P44" s="1">
        <f t="shared" si="13"/>
        <v>-43.679717293898662</v>
      </c>
      <c r="Q44" s="1">
        <f t="shared" si="4"/>
        <v>1907.9177028749098</v>
      </c>
    </row>
    <row r="45" spans="1:17" x14ac:dyDescent="0.25">
      <c r="B45" s="21"/>
      <c r="C45" s="28"/>
      <c r="D45" s="1">
        <v>39</v>
      </c>
      <c r="E45" s="18">
        <v>42</v>
      </c>
      <c r="F45" s="7">
        <f t="shared" si="5"/>
        <v>43.539311291179239</v>
      </c>
      <c r="G45" s="10">
        <f t="shared" si="9"/>
        <v>-0.12012885017585968</v>
      </c>
      <c r="H45" s="7">
        <f t="shared" si="6"/>
        <v>0.96464548368979153</v>
      </c>
      <c r="I45" s="15">
        <f t="shared" si="10"/>
        <v>41.875173361131637</v>
      </c>
      <c r="J45" s="9">
        <f t="shared" si="7"/>
        <v>0.1248266388683632</v>
      </c>
      <c r="K45" s="9">
        <f t="shared" si="11"/>
        <v>0.1248266388683632</v>
      </c>
      <c r="M45" s="14">
        <f t="shared" si="12"/>
        <v>82</v>
      </c>
      <c r="O45" s="1">
        <f t="shared" si="3"/>
        <v>70.996776435146202</v>
      </c>
      <c r="P45" s="1">
        <f t="shared" si="13"/>
        <v>-28.996776435146202</v>
      </c>
      <c r="Q45" s="1">
        <f t="shared" si="4"/>
        <v>840.81304362985009</v>
      </c>
    </row>
    <row r="46" spans="1:17" x14ac:dyDescent="0.25">
      <c r="C46" s="28"/>
      <c r="D46" s="1">
        <v>40</v>
      </c>
      <c r="E46" s="19">
        <v>80</v>
      </c>
      <c r="F46" s="7">
        <f t="shared" si="5"/>
        <v>33.883486151026489</v>
      </c>
      <c r="G46" s="10">
        <f t="shared" si="9"/>
        <v>-0.25440320897686031</v>
      </c>
      <c r="H46" s="7">
        <f t="shared" si="6"/>
        <v>2.3610321453767065</v>
      </c>
      <c r="I46" s="15">
        <f t="shared" si="10"/>
        <v>79.447076975213847</v>
      </c>
      <c r="J46" s="9">
        <f t="shared" si="7"/>
        <v>0.55292302478615341</v>
      </c>
      <c r="K46" s="9">
        <f t="shared" si="11"/>
        <v>0.55292302478615341</v>
      </c>
      <c r="M46" s="14">
        <f t="shared" si="12"/>
        <v>82.6</v>
      </c>
      <c r="O46" s="1">
        <f t="shared" si="3"/>
        <v>71.313835576393728</v>
      </c>
      <c r="P46" s="1">
        <f t="shared" si="13"/>
        <v>8.6861644236062716</v>
      </c>
      <c r="Q46" s="1">
        <f t="shared" si="4"/>
        <v>75.449452393923266</v>
      </c>
    </row>
    <row r="47" spans="1:17" x14ac:dyDescent="0.25">
      <c r="C47" s="28"/>
      <c r="D47" s="1">
        <v>41</v>
      </c>
      <c r="E47" s="18">
        <v>36</v>
      </c>
      <c r="F47" s="7">
        <f t="shared" si="5"/>
        <v>26.293423668635615</v>
      </c>
      <c r="G47" s="10">
        <f t="shared" si="9"/>
        <v>-0.35769833451012828</v>
      </c>
      <c r="H47" s="7">
        <f t="shared" si="6"/>
        <v>1.3691636529990188</v>
      </c>
      <c r="I47" s="15">
        <f t="shared" si="10"/>
        <v>35.531414795761052</v>
      </c>
      <c r="J47" s="9">
        <f t="shared" si="7"/>
        <v>0.46858520423894845</v>
      </c>
      <c r="K47" s="9">
        <f t="shared" si="11"/>
        <v>0.46858520423894845</v>
      </c>
      <c r="M47" s="14">
        <f t="shared" si="12"/>
        <v>83.8</v>
      </c>
      <c r="O47" s="1">
        <f t="shared" si="3"/>
        <v>71.630894717641269</v>
      </c>
      <c r="P47" s="1">
        <f t="shared" si="13"/>
        <v>-35.630894717641269</v>
      </c>
      <c r="Q47" s="1">
        <f t="shared" si="4"/>
        <v>1269.5606583796364</v>
      </c>
    </row>
    <row r="48" spans="1:17" x14ac:dyDescent="0.25">
      <c r="C48" s="28"/>
      <c r="D48" s="1">
        <v>42</v>
      </c>
      <c r="E48" s="19">
        <v>145</v>
      </c>
      <c r="F48" s="7">
        <f t="shared" si="5"/>
        <v>275.53484316466034</v>
      </c>
      <c r="G48" s="10">
        <f t="shared" si="9"/>
        <v>3.1569649354619158</v>
      </c>
      <c r="H48" s="7">
        <f t="shared" si="6"/>
        <v>0.52624923343487129</v>
      </c>
      <c r="I48" s="15">
        <f t="shared" si="10"/>
        <v>146.37827466498462</v>
      </c>
      <c r="J48" s="9">
        <f t="shared" si="7"/>
        <v>-1.378274664984616</v>
      </c>
      <c r="K48" s="9">
        <f t="shared" si="11"/>
        <v>1.378274664984616</v>
      </c>
      <c r="M48" s="14">
        <f t="shared" si="12"/>
        <v>85.13333333333334</v>
      </c>
      <c r="O48" s="1">
        <f t="shared" si="3"/>
        <v>71.947953858888795</v>
      </c>
      <c r="P48" s="1">
        <f t="shared" si="13"/>
        <v>73.052046141111205</v>
      </c>
      <c r="Q48" s="1">
        <f t="shared" si="4"/>
        <v>5336.6014454030401</v>
      </c>
    </row>
    <row r="49" spans="3:25" x14ac:dyDescent="0.25">
      <c r="C49" s="28"/>
      <c r="D49" s="1">
        <v>43</v>
      </c>
      <c r="E49" s="18">
        <v>49</v>
      </c>
      <c r="F49" s="7">
        <f t="shared" si="5"/>
        <v>30.036699302787238</v>
      </c>
      <c r="G49" s="10">
        <f t="shared" si="9"/>
        <v>-0.34440552360459531</v>
      </c>
      <c r="H49" s="7">
        <f t="shared" si="6"/>
        <v>1.6313377014581982</v>
      </c>
      <c r="I49" s="15">
        <f t="shared" si="10"/>
        <v>49.309595462468529</v>
      </c>
      <c r="J49" s="9">
        <f t="shared" si="7"/>
        <v>-0.30959546246852909</v>
      </c>
      <c r="K49" s="9">
        <f t="shared" si="11"/>
        <v>0.30959546246852909</v>
      </c>
      <c r="M49" s="14">
        <f t="shared" si="12"/>
        <v>78.13333333333334</v>
      </c>
      <c r="O49" s="1">
        <f t="shared" si="3"/>
        <v>72.265013000136335</v>
      </c>
      <c r="P49" s="1">
        <f t="shared" si="13"/>
        <v>-23.265013000136335</v>
      </c>
      <c r="Q49" s="1">
        <f t="shared" si="4"/>
        <v>541.26082989651263</v>
      </c>
    </row>
    <row r="50" spans="3:25" x14ac:dyDescent="0.25">
      <c r="C50" s="28"/>
      <c r="D50" s="1">
        <v>44</v>
      </c>
      <c r="E50" s="19">
        <v>53</v>
      </c>
      <c r="F50" s="7">
        <f t="shared" si="5"/>
        <v>92.756523408872866</v>
      </c>
      <c r="G50" s="10">
        <f t="shared" si="9"/>
        <v>0.54361657140554698</v>
      </c>
      <c r="H50" s="7">
        <f t="shared" si="6"/>
        <v>0.57138838382692281</v>
      </c>
      <c r="I50" s="15">
        <f t="shared" si="10"/>
        <v>53.233351354865704</v>
      </c>
      <c r="J50" s="9">
        <f t="shared" si="7"/>
        <v>-0.2333513548657038</v>
      </c>
      <c r="K50" s="9">
        <f t="shared" si="11"/>
        <v>0.2333513548657038</v>
      </c>
      <c r="M50" s="14">
        <f t="shared" si="12"/>
        <v>79.599999999999994</v>
      </c>
      <c r="O50" s="1">
        <f t="shared" si="3"/>
        <v>72.582072141383861</v>
      </c>
      <c r="P50" s="1">
        <f t="shared" si="13"/>
        <v>-19.582072141383861</v>
      </c>
      <c r="Q50" s="1">
        <f t="shared" si="4"/>
        <v>383.45754935036194</v>
      </c>
    </row>
    <row r="51" spans="3:25" x14ac:dyDescent="0.25">
      <c r="C51" s="28"/>
      <c r="D51" s="1">
        <v>45</v>
      </c>
      <c r="E51" s="18">
        <v>192</v>
      </c>
      <c r="F51" s="7">
        <f t="shared" si="5"/>
        <v>229.85799599908768</v>
      </c>
      <c r="G51" s="10">
        <f t="shared" si="9"/>
        <v>2.4665195245373956</v>
      </c>
      <c r="H51" s="7">
        <f t="shared" si="6"/>
        <v>0.8352983291508469</v>
      </c>
      <c r="I51" s="15">
        <f t="shared" si="10"/>
        <v>193.81446783510108</v>
      </c>
      <c r="J51" s="9">
        <f t="shared" si="7"/>
        <v>-1.8144678351010839</v>
      </c>
      <c r="K51" s="9">
        <f t="shared" si="11"/>
        <v>1.8144678351010839</v>
      </c>
      <c r="M51" s="14">
        <f t="shared" si="12"/>
        <v>82.466666666666669</v>
      </c>
      <c r="O51" s="1">
        <f t="shared" si="3"/>
        <v>72.899131282631402</v>
      </c>
      <c r="P51" s="1">
        <f t="shared" si="13"/>
        <v>119.1008687173686</v>
      </c>
      <c r="Q51" s="1">
        <f t="shared" si="4"/>
        <v>14185.01692923187</v>
      </c>
    </row>
    <row r="52" spans="3:25" x14ac:dyDescent="0.25">
      <c r="C52" s="28"/>
      <c r="D52" s="1">
        <v>46</v>
      </c>
      <c r="E52" s="19">
        <v>56</v>
      </c>
      <c r="F52" s="7">
        <f t="shared" si="5"/>
        <v>55.156523709996485</v>
      </c>
      <c r="G52" s="10">
        <f>$P$3*(F52-F51)+(1-$P$3)*G51</f>
        <v>-2.8224202340839444E-2</v>
      </c>
      <c r="H52" s="7">
        <f t="shared" si="6"/>
        <v>1.0152924120896083</v>
      </c>
      <c r="I52" s="15">
        <f t="shared" si="10"/>
        <v>56.357801811573232</v>
      </c>
      <c r="J52" s="9">
        <f t="shared" si="7"/>
        <v>-0.35780181157323199</v>
      </c>
      <c r="K52" s="9">
        <f t="shared" si="11"/>
        <v>0.35780181157323199</v>
      </c>
      <c r="M52" s="14">
        <f t="shared" si="12"/>
        <v>73.933333333333337</v>
      </c>
      <c r="O52" s="1">
        <f t="shared" si="3"/>
        <v>73.216190423878928</v>
      </c>
      <c r="P52" s="1">
        <f t="shared" si="13"/>
        <v>-17.216190423878928</v>
      </c>
      <c r="Q52" s="1">
        <f t="shared" si="4"/>
        <v>296.39721271126047</v>
      </c>
    </row>
    <row r="53" spans="3:25" x14ac:dyDescent="0.25">
      <c r="C53" s="28"/>
      <c r="D53" s="1">
        <v>47</v>
      </c>
      <c r="E53" s="18">
        <v>62</v>
      </c>
      <c r="F53" s="7">
        <f t="shared" si="5"/>
        <v>144.84721855275063</v>
      </c>
      <c r="G53" s="10">
        <f t="shared" si="9"/>
        <v>1.2351287779508815</v>
      </c>
      <c r="H53" s="7">
        <f t="shared" si="6"/>
        <v>0.42803721479415752</v>
      </c>
      <c r="I53" s="15">
        <f t="shared" si="10"/>
        <v>62.446107958565868</v>
      </c>
      <c r="J53" s="9">
        <f t="shared" si="7"/>
        <v>-0.44610795856586805</v>
      </c>
      <c r="K53" s="9">
        <f t="shared" si="11"/>
        <v>0.44610795856586805</v>
      </c>
      <c r="M53" s="14">
        <f t="shared" si="12"/>
        <v>72.933333333333337</v>
      </c>
      <c r="O53" s="1">
        <f t="shared" si="3"/>
        <v>73.533249565126454</v>
      </c>
      <c r="P53" s="1">
        <f t="shared" si="13"/>
        <v>-11.533249565126454</v>
      </c>
      <c r="Q53" s="1">
        <f t="shared" si="4"/>
        <v>133.01584553148953</v>
      </c>
    </row>
    <row r="54" spans="3:25" x14ac:dyDescent="0.25">
      <c r="C54" s="28"/>
      <c r="D54" s="1">
        <v>48</v>
      </c>
      <c r="E54" s="19">
        <v>74</v>
      </c>
      <c r="F54" s="7">
        <f t="shared" ref="F54:F85" si="14">$P$2*(E54/H39)+(1-$P$2)*(F53+G53)</f>
        <v>75.78011141019708</v>
      </c>
      <c r="G54" s="10">
        <f t="shared" si="9"/>
        <v>0.24518663178325406</v>
      </c>
      <c r="H54" s="7">
        <f t="shared" ref="H54:H85" si="15">$P$4*(E54/F54)+(1-$P$4)*H39</f>
        <v>0.97650951711377998</v>
      </c>
      <c r="I54" s="15">
        <f t="shared" si="10"/>
        <v>74.386749533572015</v>
      </c>
      <c r="J54" s="9">
        <f t="shared" ref="J54:J85" si="16">E54-I54</f>
        <v>-0.38674953357201503</v>
      </c>
      <c r="K54" s="9">
        <f t="shared" si="11"/>
        <v>0.38674953357201503</v>
      </c>
      <c r="M54" s="14">
        <f t="shared" si="12"/>
        <v>71.333333333333329</v>
      </c>
      <c r="O54" s="1">
        <f t="shared" si="3"/>
        <v>73.850308706373994</v>
      </c>
      <c r="P54" s="1">
        <f t="shared" si="13"/>
        <v>0.14969129362600597</v>
      </c>
      <c r="Q54" s="1">
        <f t="shared" si="4"/>
        <v>2.2407483387427138E-2</v>
      </c>
    </row>
    <row r="55" spans="3:25" x14ac:dyDescent="0.25">
      <c r="C55" s="28"/>
      <c r="D55" s="1">
        <v>49</v>
      </c>
      <c r="E55" s="18">
        <v>87</v>
      </c>
      <c r="F55" s="7">
        <f t="shared" si="14"/>
        <v>388.86852873561156</v>
      </c>
      <c r="G55" s="10">
        <f t="shared" si="9"/>
        <v>4.6504049744411287</v>
      </c>
      <c r="H55" s="7">
        <f t="shared" si="15"/>
        <v>0.22372599881732927</v>
      </c>
      <c r="I55" s="15">
        <f t="shared" si="10"/>
        <v>87.889470959593808</v>
      </c>
      <c r="J55" s="9">
        <f t="shared" si="16"/>
        <v>-0.88947095959380817</v>
      </c>
      <c r="K55" s="9">
        <f t="shared" si="11"/>
        <v>0.88947095959380817</v>
      </c>
      <c r="M55" s="14">
        <f t="shared" si="12"/>
        <v>73.666666666666671</v>
      </c>
      <c r="O55" s="1">
        <f t="shared" si="3"/>
        <v>74.167367847621534</v>
      </c>
      <c r="P55" s="1">
        <f t="shared" si="13"/>
        <v>12.832632152378466</v>
      </c>
      <c r="Q55" s="1">
        <f t="shared" si="4"/>
        <v>164.67644795825757</v>
      </c>
    </row>
    <row r="56" spans="3:25" x14ac:dyDescent="0.25">
      <c r="C56" s="28"/>
      <c r="D56" s="1">
        <v>50</v>
      </c>
      <c r="E56" s="19">
        <v>76</v>
      </c>
      <c r="F56" s="7">
        <f t="shared" si="14"/>
        <v>48.477274739026591</v>
      </c>
      <c r="G56" s="10">
        <f t="shared" si="9"/>
        <v>-0.2082069306660479</v>
      </c>
      <c r="H56" s="7">
        <f t="shared" si="15"/>
        <v>1.5677448950903228</v>
      </c>
      <c r="I56" s="15">
        <f t="shared" si="10"/>
        <v>76.841164900024182</v>
      </c>
      <c r="J56" s="9">
        <f t="shared" si="16"/>
        <v>-0.84116490002418232</v>
      </c>
      <c r="K56" s="9">
        <f t="shared" si="11"/>
        <v>0.84116490002418232</v>
      </c>
      <c r="M56" s="14">
        <f t="shared" si="12"/>
        <v>74.466666666666669</v>
      </c>
      <c r="O56" s="1">
        <f t="shared" si="3"/>
        <v>74.48442698886906</v>
      </c>
      <c r="P56" s="1">
        <f t="shared" si="13"/>
        <v>1.5155730111309396</v>
      </c>
      <c r="Q56" s="1">
        <f t="shared" si="4"/>
        <v>2.2969615520685029</v>
      </c>
    </row>
    <row r="57" spans="3:25" x14ac:dyDescent="0.25">
      <c r="C57" s="28"/>
      <c r="D57" s="1">
        <v>51</v>
      </c>
      <c r="E57" s="18">
        <v>111</v>
      </c>
      <c r="F57" s="7">
        <f t="shared" si="14"/>
        <v>109.38539185413738</v>
      </c>
      <c r="G57" s="10">
        <f t="shared" si="9"/>
        <v>0.65238625246067161</v>
      </c>
      <c r="H57" s="7">
        <f t="shared" si="15"/>
        <v>1.0147607291841643</v>
      </c>
      <c r="I57" s="15">
        <f t="shared" si="10"/>
        <v>111.52898731830103</v>
      </c>
      <c r="J57" s="9">
        <f t="shared" si="16"/>
        <v>-0.52898731830103429</v>
      </c>
      <c r="K57" s="9">
        <f t="shared" si="11"/>
        <v>0.52898731830103429</v>
      </c>
      <c r="M57" s="14">
        <f t="shared" si="12"/>
        <v>69.8</v>
      </c>
      <c r="O57" s="1">
        <f t="shared" si="3"/>
        <v>74.801486130116587</v>
      </c>
      <c r="P57" s="1">
        <f t="shared" si="13"/>
        <v>36.198513869883413</v>
      </c>
      <c r="Q57" s="1">
        <f t="shared" si="4"/>
        <v>1310.3324063881419</v>
      </c>
    </row>
    <row r="58" spans="3:25" x14ac:dyDescent="0.25">
      <c r="C58" s="28"/>
      <c r="D58" s="1">
        <v>52</v>
      </c>
      <c r="E58" s="19">
        <v>122</v>
      </c>
      <c r="F58" s="7">
        <f t="shared" si="14"/>
        <v>176.37723811651247</v>
      </c>
      <c r="G58" s="10">
        <f t="shared" si="9"/>
        <v>1.5865276287332026</v>
      </c>
      <c r="H58" s="7">
        <f t="shared" si="15"/>
        <v>0.69169923116387844</v>
      </c>
      <c r="I58" s="15">
        <f t="shared" si="10"/>
        <v>122.99863810341527</v>
      </c>
      <c r="J58" s="9">
        <f t="shared" si="16"/>
        <v>-0.99863810341527426</v>
      </c>
      <c r="K58" s="9">
        <f t="shared" si="11"/>
        <v>0.99863810341527426</v>
      </c>
      <c r="M58" s="14">
        <f t="shared" si="12"/>
        <v>65.266666666666666</v>
      </c>
      <c r="O58" s="1">
        <f t="shared" si="3"/>
        <v>75.118545271364127</v>
      </c>
      <c r="P58" s="1">
        <f t="shared" si="13"/>
        <v>46.881454728635873</v>
      </c>
      <c r="Q58" s="1">
        <f t="shared" si="4"/>
        <v>2197.8707974731346</v>
      </c>
    </row>
    <row r="59" spans="3:25" x14ac:dyDescent="0.25">
      <c r="C59" s="29" t="s">
        <v>23</v>
      </c>
      <c r="D59" s="1">
        <v>53</v>
      </c>
      <c r="E59" s="18">
        <v>45</v>
      </c>
      <c r="F59" s="7">
        <f t="shared" si="14"/>
        <v>65.846448690628591</v>
      </c>
      <c r="G59" s="10">
        <f t="shared" si="9"/>
        <v>7.7775930571308827E-3</v>
      </c>
      <c r="H59" s="7">
        <f t="shared" si="15"/>
        <v>0.68340815480310779</v>
      </c>
      <c r="I59" s="15">
        <f t="shared" si="10"/>
        <v>45.169504676855681</v>
      </c>
      <c r="J59" s="9">
        <f t="shared" si="16"/>
        <v>-0.16950467685568071</v>
      </c>
      <c r="K59" s="9">
        <f t="shared" si="11"/>
        <v>0.16950467685568071</v>
      </c>
      <c r="M59" s="14">
        <f t="shared" si="12"/>
        <v>57.8</v>
      </c>
      <c r="O59" s="1">
        <f t="shared" si="3"/>
        <v>75.435604412611653</v>
      </c>
      <c r="P59" s="1">
        <f t="shared" si="13"/>
        <v>-30.435604412611653</v>
      </c>
      <c r="Q59" s="1">
        <f t="shared" si="4"/>
        <v>926.32601596098596</v>
      </c>
    </row>
    <row r="60" spans="3:25" x14ac:dyDescent="0.25">
      <c r="C60" s="29"/>
      <c r="D60" s="1">
        <v>54</v>
      </c>
      <c r="E60" s="19">
        <v>51</v>
      </c>
      <c r="F60" s="7">
        <f t="shared" si="14"/>
        <v>52.896825314932464</v>
      </c>
      <c r="G60" s="10">
        <f t="shared" si="9"/>
        <v>-0.17467858569465952</v>
      </c>
      <c r="H60" s="7">
        <f t="shared" si="15"/>
        <v>0.96414103675146268</v>
      </c>
      <c r="I60" s="15">
        <f t="shared" si="10"/>
        <v>50.858180732789762</v>
      </c>
      <c r="J60" s="9">
        <f t="shared" si="16"/>
        <v>0.14181926721023785</v>
      </c>
      <c r="K60" s="9">
        <f t="shared" si="11"/>
        <v>0.14181926721023785</v>
      </c>
      <c r="M60" s="14">
        <f t="shared" si="12"/>
        <v>57.733333333333334</v>
      </c>
      <c r="O60" s="1">
        <f t="shared" si="3"/>
        <v>75.752663553859193</v>
      </c>
      <c r="P60" s="1">
        <f t="shared" si="13"/>
        <v>-24.752663553859193</v>
      </c>
      <c r="Q60" s="1">
        <f t="shared" si="4"/>
        <v>612.69435301054921</v>
      </c>
    </row>
    <row r="61" spans="3:25" x14ac:dyDescent="0.25">
      <c r="C61" s="29"/>
      <c r="D61" s="1">
        <v>55</v>
      </c>
      <c r="E61" s="18">
        <v>98</v>
      </c>
      <c r="F61" s="7">
        <f t="shared" si="14"/>
        <v>41.531161175877266</v>
      </c>
      <c r="G61" s="10">
        <f t="shared" si="9"/>
        <v>-0.3322614578660622</v>
      </c>
      <c r="H61" s="7">
        <f t="shared" si="15"/>
        <v>2.3596739707080907</v>
      </c>
      <c r="I61" s="15">
        <f t="shared" si="10"/>
        <v>97.271926588375777</v>
      </c>
      <c r="J61" s="9">
        <f t="shared" si="16"/>
        <v>0.7280734116242229</v>
      </c>
      <c r="K61" s="9">
        <f t="shared" si="11"/>
        <v>0.7280734116242229</v>
      </c>
      <c r="M61" s="14">
        <f t="shared" si="12"/>
        <v>58.333333333333336</v>
      </c>
      <c r="O61" s="1">
        <f t="shared" si="3"/>
        <v>76.069722695106719</v>
      </c>
      <c r="P61" s="1">
        <f t="shared" si="13"/>
        <v>21.930277304893281</v>
      </c>
      <c r="Q61" s="1">
        <f t="shared" si="4"/>
        <v>480.93706266951727</v>
      </c>
      <c r="W61" s="1" t="s">
        <v>12</v>
      </c>
      <c r="Y61" s="1" t="s">
        <v>14</v>
      </c>
    </row>
    <row r="62" spans="3:25" x14ac:dyDescent="0.25">
      <c r="C62" s="29"/>
      <c r="D62" s="1">
        <v>56</v>
      </c>
      <c r="E62" s="19">
        <v>56</v>
      </c>
      <c r="F62" s="7">
        <f t="shared" si="14"/>
        <v>40.901516120146098</v>
      </c>
      <c r="G62" s="10">
        <f t="shared" si="9"/>
        <v>-0.33644898552078034</v>
      </c>
      <c r="H62" s="7">
        <f t="shared" si="15"/>
        <v>1.3691424013599613</v>
      </c>
      <c r="I62" s="15">
        <f t="shared" si="10"/>
        <v>55.540215502194037</v>
      </c>
      <c r="J62" s="9">
        <f t="shared" si="16"/>
        <v>0.45978449780596264</v>
      </c>
      <c r="K62" s="9">
        <f t="shared" si="11"/>
        <v>0.45978449780596264</v>
      </c>
      <c r="M62" s="14">
        <f t="shared" si="12"/>
        <v>54.266666666666666</v>
      </c>
      <c r="O62" s="1">
        <f t="shared" si="3"/>
        <v>76.38678183635426</v>
      </c>
      <c r="P62" s="1">
        <f t="shared" si="13"/>
        <v>-20.38678183635426</v>
      </c>
      <c r="Q62" s="1">
        <f t="shared" si="4"/>
        <v>415.62087364310395</v>
      </c>
      <c r="W62" s="1">
        <f>AVERAGE(E85:E110)</f>
        <v>64.84615384615384</v>
      </c>
      <c r="Y62" s="1">
        <f>AVERAGE(E59:E84)</f>
        <v>64.84615384615384</v>
      </c>
    </row>
    <row r="63" spans="3:25" x14ac:dyDescent="0.25">
      <c r="C63" s="29"/>
      <c r="D63" s="1">
        <v>57</v>
      </c>
      <c r="E63" s="18">
        <v>40</v>
      </c>
      <c r="F63" s="7">
        <f t="shared" si="14"/>
        <v>75.934105689207342</v>
      </c>
      <c r="G63" s="10">
        <f t="shared" si="9"/>
        <v>0.16159067817071926</v>
      </c>
      <c r="H63" s="7">
        <f t="shared" si="15"/>
        <v>0.52677251726275709</v>
      </c>
      <c r="I63" s="15">
        <f t="shared" si="10"/>
        <v>40.045301881025431</v>
      </c>
      <c r="J63" s="9">
        <f t="shared" si="16"/>
        <v>-4.5301881025430646E-2</v>
      </c>
      <c r="K63" s="9">
        <f t="shared" si="11"/>
        <v>4.5301881025430646E-2</v>
      </c>
      <c r="M63" s="14">
        <f t="shared" si="12"/>
        <v>62.133333333333333</v>
      </c>
      <c r="O63" s="1">
        <f t="shared" si="3"/>
        <v>76.703840977601786</v>
      </c>
      <c r="P63" s="1">
        <f t="shared" si="13"/>
        <v>-36.703840977601786</v>
      </c>
      <c r="Q63" s="1">
        <f t="shared" si="4"/>
        <v>1347.1719425090801</v>
      </c>
      <c r="V63" s="1" t="s">
        <v>25</v>
      </c>
      <c r="W63" s="1">
        <f>W62/Y62</f>
        <v>1</v>
      </c>
    </row>
    <row r="64" spans="3:25" x14ac:dyDescent="0.25">
      <c r="C64" s="29"/>
      <c r="D64" s="1">
        <v>58</v>
      </c>
      <c r="E64" s="19">
        <v>71</v>
      </c>
      <c r="F64" s="7">
        <f t="shared" si="14"/>
        <v>43.591953648628625</v>
      </c>
      <c r="G64" s="10">
        <f t="shared" si="9"/>
        <v>-0.29610208798630255</v>
      </c>
      <c r="H64" s="7">
        <f t="shared" si="15"/>
        <v>1.6287409500453442</v>
      </c>
      <c r="I64" s="15">
        <f t="shared" si="10"/>
        <v>70.630154967613592</v>
      </c>
      <c r="J64" s="9">
        <f t="shared" si="16"/>
        <v>0.36984503238640798</v>
      </c>
      <c r="K64" s="9">
        <f t="shared" si="11"/>
        <v>0.36984503238640798</v>
      </c>
      <c r="M64" s="14">
        <f t="shared" si="12"/>
        <v>62.733333333333334</v>
      </c>
      <c r="O64" s="1">
        <f t="shared" si="3"/>
        <v>77.020900118849326</v>
      </c>
      <c r="P64" s="1">
        <f t="shared" si="13"/>
        <v>-6.0209001188493261</v>
      </c>
      <c r="Q64" s="1">
        <f t="shared" si="4"/>
        <v>36.251238241159832</v>
      </c>
    </row>
    <row r="65" spans="3:17" x14ac:dyDescent="0.25">
      <c r="C65" s="29"/>
      <c r="D65" s="1">
        <v>59</v>
      </c>
      <c r="E65" s="18">
        <v>96</v>
      </c>
      <c r="F65" s="7">
        <f t="shared" si="14"/>
        <v>167.74613812504757</v>
      </c>
      <c r="G65" s="10">
        <f t="shared" si="9"/>
        <v>1.4563113617374401</v>
      </c>
      <c r="H65" s="7">
        <f t="shared" si="15"/>
        <v>0.57229335395152947</v>
      </c>
      <c r="I65" s="15">
        <f t="shared" si="10"/>
        <v>96.680314151810634</v>
      </c>
      <c r="J65" s="9">
        <f t="shared" si="16"/>
        <v>-0.68031415181063437</v>
      </c>
      <c r="K65" s="9">
        <f t="shared" si="11"/>
        <v>0.68031415181063437</v>
      </c>
      <c r="M65" s="14">
        <f t="shared" si="12"/>
        <v>63.533333333333331</v>
      </c>
      <c r="O65" s="1">
        <f t="shared" si="3"/>
        <v>77.337959260096852</v>
      </c>
      <c r="P65" s="1">
        <f t="shared" si="13"/>
        <v>18.662040739903148</v>
      </c>
      <c r="Q65" s="1">
        <f t="shared" si="4"/>
        <v>348.27176457780484</v>
      </c>
    </row>
    <row r="66" spans="3:17" x14ac:dyDescent="0.25">
      <c r="C66" s="29"/>
      <c r="D66" s="1">
        <v>60</v>
      </c>
      <c r="E66" s="19">
        <v>64</v>
      </c>
      <c r="F66" s="7">
        <f t="shared" si="14"/>
        <v>76.816558431105818</v>
      </c>
      <c r="G66" s="10">
        <f t="shared" si="9"/>
        <v>0.15540412785253155</v>
      </c>
      <c r="H66" s="7">
        <f t="shared" si="15"/>
        <v>0.8331537015863506</v>
      </c>
      <c r="I66" s="15">
        <f t="shared" si="10"/>
        <v>64.294551716959461</v>
      </c>
      <c r="J66" s="9">
        <f t="shared" si="16"/>
        <v>-0.29455171695946092</v>
      </c>
      <c r="K66" s="9">
        <f t="shared" si="11"/>
        <v>0.29455171695946092</v>
      </c>
      <c r="M66" s="14">
        <f t="shared" si="12"/>
        <v>61.4</v>
      </c>
      <c r="O66" s="1">
        <f t="shared" si="3"/>
        <v>77.655018401344392</v>
      </c>
      <c r="P66" s="1">
        <f t="shared" si="13"/>
        <v>-13.655018401344392</v>
      </c>
      <c r="Q66" s="1">
        <f t="shared" si="4"/>
        <v>186.45952754105397</v>
      </c>
    </row>
    <row r="67" spans="3:17" x14ac:dyDescent="0.25">
      <c r="C67" s="29"/>
      <c r="D67" s="1">
        <v>61</v>
      </c>
      <c r="E67" s="18">
        <v>41</v>
      </c>
      <c r="F67" s="7">
        <f t="shared" si="14"/>
        <v>40.460400150066434</v>
      </c>
      <c r="G67" s="10">
        <f t="shared" si="9"/>
        <v>-0.35872368014297251</v>
      </c>
      <c r="H67" s="7">
        <f t="shared" si="15"/>
        <v>1.0133364931620104</v>
      </c>
      <c r="I67" s="15">
        <f t="shared" si="10"/>
        <v>40.714927831985676</v>
      </c>
      <c r="J67" s="9">
        <f t="shared" si="16"/>
        <v>0.28507216801432378</v>
      </c>
      <c r="K67" s="9">
        <f t="shared" si="11"/>
        <v>0.28507216801432378</v>
      </c>
      <c r="M67" s="14">
        <f t="shared" si="12"/>
        <v>62.8</v>
      </c>
      <c r="O67" s="1">
        <f t="shared" si="3"/>
        <v>77.972077542591919</v>
      </c>
      <c r="P67" s="1">
        <f t="shared" si="13"/>
        <v>-36.972077542591919</v>
      </c>
      <c r="Q67" s="1">
        <f t="shared" si="4"/>
        <v>1366.9345178154297</v>
      </c>
    </row>
    <row r="68" spans="3:17" x14ac:dyDescent="0.25">
      <c r="C68" s="29"/>
      <c r="D68" s="1">
        <v>62</v>
      </c>
      <c r="E68" s="19">
        <v>38</v>
      </c>
      <c r="F68" s="7">
        <f t="shared" si="14"/>
        <v>88.673635539704819</v>
      </c>
      <c r="G68" s="10">
        <f t="shared" si="9"/>
        <v>0.32522938017614378</v>
      </c>
      <c r="H68" s="7">
        <f t="shared" si="15"/>
        <v>0.42853774708475761</v>
      </c>
      <c r="I68" s="15">
        <f t="shared" si="10"/>
        <v>38.094826260147293</v>
      </c>
      <c r="J68" s="9">
        <f t="shared" si="16"/>
        <v>-9.482626014729334E-2</v>
      </c>
      <c r="K68" s="9">
        <f t="shared" si="11"/>
        <v>9.482626014729334E-2</v>
      </c>
      <c r="M68" s="14">
        <f t="shared" si="12"/>
        <v>63.533333333333331</v>
      </c>
      <c r="O68" s="1">
        <f t="shared" si="3"/>
        <v>78.289136683839445</v>
      </c>
      <c r="P68" s="1">
        <f t="shared" si="13"/>
        <v>-40.289136683839445</v>
      </c>
      <c r="Q68" s="1">
        <f t="shared" si="4"/>
        <v>1623.2145347290973</v>
      </c>
    </row>
    <row r="69" spans="3:17" x14ac:dyDescent="0.25">
      <c r="C69" s="29"/>
      <c r="D69" s="1">
        <v>63</v>
      </c>
      <c r="E69" s="18">
        <v>109</v>
      </c>
      <c r="F69" s="7">
        <f t="shared" si="14"/>
        <v>111.57386263899483</v>
      </c>
      <c r="G69" s="10">
        <f t="shared" si="9"/>
        <v>0.64311317717314431</v>
      </c>
      <c r="H69" s="7">
        <f t="shared" si="15"/>
        <v>0.97693131188508964</v>
      </c>
      <c r="I69" s="15">
        <f t="shared" si="10"/>
        <v>109.58094486621492</v>
      </c>
      <c r="J69" s="9">
        <f t="shared" si="16"/>
        <v>-0.58094486621492081</v>
      </c>
      <c r="K69" s="9">
        <f t="shared" si="11"/>
        <v>0.58094486621492081</v>
      </c>
      <c r="M69" s="14">
        <f>AVERAGE(E69:E83)</f>
        <v>64.933333333333337</v>
      </c>
      <c r="O69" s="1">
        <f t="shared" si="3"/>
        <v>78.606195825086985</v>
      </c>
      <c r="P69" s="1">
        <f t="shared" si="13"/>
        <v>30.393804174913015</v>
      </c>
      <c r="Q69" s="1">
        <f t="shared" si="4"/>
        <v>923.78333222295987</v>
      </c>
    </row>
    <row r="70" spans="3:17" x14ac:dyDescent="0.25">
      <c r="C70" s="29"/>
      <c r="D70" s="1">
        <v>64</v>
      </c>
      <c r="E70" s="19">
        <v>99</v>
      </c>
      <c r="F70" s="7">
        <f t="shared" si="14"/>
        <v>441.80196546726449</v>
      </c>
      <c r="G70" s="10">
        <f t="shared" si="9"/>
        <v>5.2840761241948835</v>
      </c>
      <c r="H70" s="7">
        <f t="shared" si="15"/>
        <v>0.2240822987179206</v>
      </c>
      <c r="I70" s="15">
        <f t="shared" si="10"/>
        <v>100.02477121233527</v>
      </c>
      <c r="J70" s="9">
        <f t="shared" si="16"/>
        <v>-1.024771212335267</v>
      </c>
      <c r="K70" s="9">
        <f t="shared" si="11"/>
        <v>1.024771212335267</v>
      </c>
      <c r="M70" s="14">
        <f>AVERAGE(E70:E84)</f>
        <v>65.13333333333334</v>
      </c>
      <c r="O70" s="1">
        <f t="shared" si="3"/>
        <v>78.923254966334525</v>
      </c>
      <c r="P70" s="1">
        <f t="shared" si="13"/>
        <v>20.076745033665475</v>
      </c>
      <c r="Q70" s="1">
        <f t="shared" si="4"/>
        <v>403.07569114681132</v>
      </c>
    </row>
    <row r="71" spans="3:17" x14ac:dyDescent="0.25">
      <c r="C71" s="29"/>
      <c r="D71" s="1">
        <v>65</v>
      </c>
      <c r="E71" s="18">
        <v>6</v>
      </c>
      <c r="F71" s="7">
        <f t="shared" si="14"/>
        <v>4.7714114782226176</v>
      </c>
      <c r="G71" s="10">
        <f t="shared" si="9"/>
        <v>-0.94425912691666003</v>
      </c>
      <c r="H71" s="7">
        <f t="shared" si="15"/>
        <v>1.257489534781234</v>
      </c>
      <c r="I71" s="15">
        <f t="shared" si="10"/>
        <v>5.9999985614928404</v>
      </c>
      <c r="J71" s="9">
        <f t="shared" si="16"/>
        <v>1.4385071596123566E-6</v>
      </c>
      <c r="K71" s="9">
        <f t="shared" si="11"/>
        <v>1.4385071596123566E-6</v>
      </c>
    </row>
    <row r="72" spans="3:17" x14ac:dyDescent="0.25">
      <c r="C72" s="29"/>
      <c r="D72" s="1">
        <v>66</v>
      </c>
      <c r="E72" s="19">
        <v>43</v>
      </c>
      <c r="F72" s="7">
        <f t="shared" si="14"/>
        <v>42.292405117776141</v>
      </c>
      <c r="G72" s="10">
        <f t="shared" si="9"/>
        <v>-0.40262095029340728</v>
      </c>
      <c r="H72" s="7">
        <f t="shared" si="15"/>
        <v>1.0167310154211695</v>
      </c>
      <c r="I72" s="15">
        <f t="shared" si="10"/>
        <v>42.508107927162037</v>
      </c>
      <c r="J72" s="9">
        <f t="shared" si="16"/>
        <v>0.49189207283796321</v>
      </c>
      <c r="K72" s="9">
        <f t="shared" si="11"/>
        <v>0.49189207283796321</v>
      </c>
    </row>
    <row r="73" spans="3:17" x14ac:dyDescent="0.25">
      <c r="C73" s="29"/>
      <c r="D73" s="1">
        <v>67</v>
      </c>
      <c r="E73" s="18">
        <v>10</v>
      </c>
      <c r="F73" s="7">
        <f t="shared" si="14"/>
        <v>14.515589401816399</v>
      </c>
      <c r="G73" s="10">
        <f t="shared" si="9"/>
        <v>-0.78808335786998729</v>
      </c>
      <c r="H73" s="7">
        <f t="shared" si="15"/>
        <v>0.68891449896954626</v>
      </c>
      <c r="I73" s="15">
        <f t="shared" si="10"/>
        <v>9.495305376395228</v>
      </c>
      <c r="J73" s="9">
        <f t="shared" si="16"/>
        <v>0.50469462360477202</v>
      </c>
      <c r="K73" s="9">
        <f t="shared" si="11"/>
        <v>0.50469462360477202</v>
      </c>
    </row>
    <row r="74" spans="3:17" x14ac:dyDescent="0.25">
      <c r="C74" s="29"/>
      <c r="D74" s="1">
        <v>68</v>
      </c>
      <c r="E74" s="19">
        <v>44</v>
      </c>
      <c r="F74" s="7">
        <f t="shared" si="14"/>
        <v>64.275284314030813</v>
      </c>
      <c r="G74" s="10">
        <f t="shared" si="9"/>
        <v>-7.6308327538438858E-2</v>
      </c>
      <c r="H74" s="7">
        <f t="shared" si="15"/>
        <v>0.68455550947123744</v>
      </c>
      <c r="I74" s="15">
        <f t="shared" si="10"/>
        <v>43.874103719177775</v>
      </c>
      <c r="J74" s="9">
        <f t="shared" si="16"/>
        <v>0.12589628082222504</v>
      </c>
      <c r="K74" s="9">
        <f t="shared" si="11"/>
        <v>0.12589628082222504</v>
      </c>
    </row>
    <row r="75" spans="3:17" x14ac:dyDescent="0.25">
      <c r="C75" s="29"/>
      <c r="D75" s="1">
        <v>69</v>
      </c>
      <c r="E75" s="18">
        <v>60</v>
      </c>
      <c r="F75" s="7">
        <f t="shared" si="14"/>
        <v>62.235750310125056</v>
      </c>
      <c r="G75" s="10">
        <f t="shared" si="9"/>
        <v>-0.10395296520931011</v>
      </c>
      <c r="H75" s="7">
        <f t="shared" si="15"/>
        <v>0.96407610900512719</v>
      </c>
      <c r="I75" s="15">
        <f t="shared" si="10"/>
        <v>59.903815507358843</v>
      </c>
      <c r="J75" s="9">
        <f t="shared" si="16"/>
        <v>9.6184492641157249E-2</v>
      </c>
      <c r="K75" s="9">
        <f t="shared" si="11"/>
        <v>9.6184492641157249E-2</v>
      </c>
    </row>
    <row r="76" spans="3:17" x14ac:dyDescent="0.25">
      <c r="C76" s="29"/>
      <c r="D76" s="1">
        <v>70</v>
      </c>
      <c r="E76" s="19">
        <v>37</v>
      </c>
      <c r="F76" s="7">
        <f t="shared" si="14"/>
        <v>15.779086565036623</v>
      </c>
      <c r="G76" s="10">
        <f t="shared" si="9"/>
        <v>-0.7566562738495628</v>
      </c>
      <c r="H76" s="7">
        <f t="shared" si="15"/>
        <v>2.3448759120179226</v>
      </c>
      <c r="I76" s="15">
        <f t="shared" si="10"/>
        <v>35.448037734890868</v>
      </c>
      <c r="J76" s="9">
        <f t="shared" si="16"/>
        <v>1.5519622651091325</v>
      </c>
      <c r="K76" s="9">
        <f t="shared" si="11"/>
        <v>1.5519622651091325</v>
      </c>
    </row>
    <row r="77" spans="3:17" x14ac:dyDescent="0.25">
      <c r="C77" s="29"/>
      <c r="D77" s="1">
        <v>71</v>
      </c>
      <c r="E77" s="18">
        <v>174</v>
      </c>
      <c r="F77" s="7">
        <f t="shared" si="14"/>
        <v>126.84812691370995</v>
      </c>
      <c r="G77" s="10">
        <f t="shared" si="9"/>
        <v>0.81798738665033255</v>
      </c>
      <c r="H77" s="7">
        <f t="shared" si="15"/>
        <v>1.3717191119295415</v>
      </c>
      <c r="I77" s="15">
        <f t="shared" si="10"/>
        <v>174.79309030549058</v>
      </c>
      <c r="J77" s="9">
        <f t="shared" si="16"/>
        <v>-0.79309030549057979</v>
      </c>
      <c r="K77" s="9">
        <f t="shared" si="11"/>
        <v>0.79309030549057979</v>
      </c>
    </row>
    <row r="78" spans="3:17" x14ac:dyDescent="0.25">
      <c r="C78" s="29"/>
      <c r="D78" s="1">
        <v>72</v>
      </c>
      <c r="E78" s="19">
        <v>49</v>
      </c>
      <c r="F78" s="7">
        <f t="shared" si="14"/>
        <v>93.09308635523027</v>
      </c>
      <c r="G78" s="10">
        <f t="shared" si="9"/>
        <v>0.33115653361435998</v>
      </c>
      <c r="H78" s="7">
        <f t="shared" si="15"/>
        <v>0.52635487680602633</v>
      </c>
      <c r="I78" s="15">
        <f t="shared" si="10"/>
        <v>49.213323599923918</v>
      </c>
      <c r="J78" s="9">
        <f t="shared" si="16"/>
        <v>-0.21332359992391758</v>
      </c>
      <c r="K78" s="9">
        <f t="shared" si="11"/>
        <v>0.21332359992391758</v>
      </c>
    </row>
    <row r="79" spans="3:17" x14ac:dyDescent="0.25">
      <c r="C79" s="29"/>
      <c r="D79" s="1">
        <v>73</v>
      </c>
      <c r="E79" s="18">
        <v>83</v>
      </c>
      <c r="F79" s="7">
        <f t="shared" si="14"/>
        <v>51.050068646565556</v>
      </c>
      <c r="G79" s="10">
        <f t="shared" si="9"/>
        <v>-0.26552407607373318</v>
      </c>
      <c r="H79" s="7">
        <f t="shared" si="15"/>
        <v>1.62585481666309</v>
      </c>
      <c r="I79" s="15">
        <f t="shared" si="10"/>
        <v>82.714867371362985</v>
      </c>
      <c r="J79" s="9">
        <f t="shared" si="16"/>
        <v>0.28513262863701527</v>
      </c>
      <c r="K79" s="9">
        <f t="shared" si="11"/>
        <v>0.28513262863701527</v>
      </c>
    </row>
    <row r="80" spans="3:17" x14ac:dyDescent="0.25">
      <c r="C80" s="29"/>
      <c r="D80" s="1">
        <v>74</v>
      </c>
      <c r="E80" s="19">
        <v>64</v>
      </c>
      <c r="F80" s="7">
        <f t="shared" si="14"/>
        <v>111.70071423111177</v>
      </c>
      <c r="G80" s="10">
        <f t="shared" si="9"/>
        <v>0.59225068657157909</v>
      </c>
      <c r="H80" s="7">
        <f t="shared" si="15"/>
        <v>0.57295963092574576</v>
      </c>
      <c r="I80" s="15">
        <f t="shared" si="10"/>
        <v>64.264517517902433</v>
      </c>
      <c r="J80" s="9">
        <f t="shared" si="16"/>
        <v>-0.2645175179024335</v>
      </c>
      <c r="K80" s="9">
        <f t="shared" si="11"/>
        <v>0.2645175179024335</v>
      </c>
    </row>
    <row r="81" spans="3:11" x14ac:dyDescent="0.25">
      <c r="C81" s="29"/>
      <c r="D81" s="1">
        <v>75</v>
      </c>
      <c r="E81" s="18">
        <v>85</v>
      </c>
      <c r="F81" s="7">
        <f t="shared" si="14"/>
        <v>102.04387154524129</v>
      </c>
      <c r="G81" s="10">
        <f t="shared" si="9"/>
        <v>0.447930817416059</v>
      </c>
      <c r="H81" s="7">
        <f t="shared" si="15"/>
        <v>0.83297505977431618</v>
      </c>
      <c r="I81" s="15">
        <f t="shared" si="10"/>
        <v>85.391424520704646</v>
      </c>
      <c r="J81" s="9">
        <f t="shared" si="16"/>
        <v>-0.39142452070464628</v>
      </c>
      <c r="K81" s="9">
        <f t="shared" si="11"/>
        <v>0.39142452070464628</v>
      </c>
    </row>
    <row r="82" spans="3:11" x14ac:dyDescent="0.25">
      <c r="C82" s="29"/>
      <c r="D82" s="1">
        <v>76</v>
      </c>
      <c r="E82" s="19">
        <v>52</v>
      </c>
      <c r="F82" s="7">
        <f t="shared" si="14"/>
        <v>51.424648189346648</v>
      </c>
      <c r="G82" s="10">
        <f t="shared" si="9"/>
        <v>-0.27115766588857809</v>
      </c>
      <c r="H82" s="7">
        <f t="shared" si="15"/>
        <v>1.0111882498162146</v>
      </c>
      <c r="I82" s="15">
        <f t="shared" si="10"/>
        <v>51.835698700037128</v>
      </c>
      <c r="J82" s="9">
        <f t="shared" si="16"/>
        <v>0.16430129996287235</v>
      </c>
      <c r="K82" s="9">
        <f t="shared" si="11"/>
        <v>0.16430129996287235</v>
      </c>
    </row>
    <row r="83" spans="3:11" x14ac:dyDescent="0.25">
      <c r="C83" s="29"/>
      <c r="D83" s="1">
        <v>77</v>
      </c>
      <c r="E83" s="18">
        <v>59</v>
      </c>
      <c r="F83" s="7">
        <f t="shared" si="14"/>
        <v>137.49316785215589</v>
      </c>
      <c r="G83" s="10">
        <f t="shared" si="9"/>
        <v>0.94461142530846209</v>
      </c>
      <c r="H83" s="7">
        <f t="shared" si="15"/>
        <v>0.42911223096875412</v>
      </c>
      <c r="I83" s="15">
        <f t="shared" si="10"/>
        <v>59.32581404298152</v>
      </c>
      <c r="J83" s="9">
        <f t="shared" si="16"/>
        <v>-0.32581404298151995</v>
      </c>
      <c r="K83" s="9">
        <f t="shared" si="11"/>
        <v>0.32581404298151995</v>
      </c>
    </row>
    <row r="84" spans="3:11" x14ac:dyDescent="0.25">
      <c r="C84" s="29"/>
      <c r="D84" s="1">
        <v>78</v>
      </c>
      <c r="E84" s="19">
        <v>112</v>
      </c>
      <c r="F84" s="7">
        <f t="shared" si="14"/>
        <v>114.69538841613034</v>
      </c>
      <c r="G84" s="10">
        <f t="shared" si="9"/>
        <v>0.61028929377630448</v>
      </c>
      <c r="H84" s="7">
        <f t="shared" si="15"/>
        <v>0.97649959206423276</v>
      </c>
      <c r="I84" s="15">
        <f t="shared" si="10"/>
        <v>112.64572699293844</v>
      </c>
      <c r="J84" s="9">
        <f t="shared" si="16"/>
        <v>-0.64572699293843527</v>
      </c>
      <c r="K84" s="9">
        <f t="shared" si="11"/>
        <v>0.64572699293843527</v>
      </c>
    </row>
    <row r="85" spans="3:11" x14ac:dyDescent="0.25">
      <c r="C85" s="30" t="s">
        <v>24</v>
      </c>
      <c r="D85" s="1">
        <v>79</v>
      </c>
      <c r="E85" s="18">
        <v>45</v>
      </c>
      <c r="F85" s="7">
        <f t="shared" si="14"/>
        <v>200.63690914707865</v>
      </c>
      <c r="G85" s="10">
        <f t="shared" si="9"/>
        <v>1.8118582236686622</v>
      </c>
      <c r="H85" s="7">
        <f t="shared" si="15"/>
        <v>0.22428575176570506</v>
      </c>
      <c r="I85" s="15">
        <f t="shared" si="10"/>
        <v>45.365185165046611</v>
      </c>
      <c r="J85" s="9">
        <f t="shared" si="16"/>
        <v>-0.36518516504661136</v>
      </c>
      <c r="K85" s="9">
        <f t="shared" si="11"/>
        <v>0.36518516504661136</v>
      </c>
    </row>
    <row r="86" spans="3:11" x14ac:dyDescent="0.25">
      <c r="C86" s="30"/>
      <c r="D86" s="1">
        <v>80</v>
      </c>
      <c r="E86" s="19">
        <v>51</v>
      </c>
      <c r="F86" s="7">
        <f t="shared" ref="F86:F94" si="17">$P$2*(E86/H71)+(1-$P$2)*(F85+G85)</f>
        <v>40.901869685210492</v>
      </c>
      <c r="G86" s="10">
        <f t="shared" si="9"/>
        <v>-0.46292124113210686</v>
      </c>
      <c r="H86" s="7">
        <f t="shared" ref="H86:H94" si="18">$P$4*(E86/F86)+(1-$P$4)*H71</f>
        <v>1.24688676562971</v>
      </c>
      <c r="I86" s="15">
        <f t="shared" si="10"/>
        <v>50.851554465986439</v>
      </c>
      <c r="J86" s="9">
        <f t="shared" ref="J86:J94" si="19">E86-I86</f>
        <v>0.14844553401356109</v>
      </c>
      <c r="K86" s="9">
        <f t="shared" si="11"/>
        <v>0.14844553401356109</v>
      </c>
    </row>
    <row r="87" spans="3:11" x14ac:dyDescent="0.25">
      <c r="C87" s="30"/>
      <c r="D87" s="1">
        <v>81</v>
      </c>
      <c r="E87" s="18">
        <v>98</v>
      </c>
      <c r="F87" s="7">
        <f t="shared" si="17"/>
        <v>96.268157078584807</v>
      </c>
      <c r="G87" s="10">
        <f t="shared" ref="G87:G110" si="20">$P$3*(F87-F86)+(1-$P$3)*G86</f>
        <v>0.32322283936312091</v>
      </c>
      <c r="H87" s="7">
        <f t="shared" si="18"/>
        <v>1.0179897795280475</v>
      </c>
      <c r="I87" s="15">
        <f t="shared" ref="I87:I110" si="21">(F87+(G87))*H72</f>
        <v>98.207451784907164</v>
      </c>
      <c r="J87" s="9">
        <f t="shared" si="19"/>
        <v>-0.20745178490716398</v>
      </c>
      <c r="K87" s="9">
        <f t="shared" si="11"/>
        <v>0.20745178490716398</v>
      </c>
    </row>
    <row r="88" spans="3:11" x14ac:dyDescent="0.25">
      <c r="C88" s="30"/>
      <c r="D88" s="1">
        <v>82</v>
      </c>
      <c r="E88" s="19">
        <v>56</v>
      </c>
      <c r="F88" s="7">
        <f t="shared" si="17"/>
        <v>81.319902370895051</v>
      </c>
      <c r="G88" s="10">
        <f t="shared" si="20"/>
        <v>0.10818160973316882</v>
      </c>
      <c r="H88" s="7">
        <f t="shared" si="18"/>
        <v>0.68863830830228323</v>
      </c>
      <c r="I88" s="15">
        <f t="shared" si="21"/>
        <v>56.096987677564627</v>
      </c>
      <c r="J88" s="9">
        <f t="shared" si="19"/>
        <v>-9.6987677564627006E-2</v>
      </c>
      <c r="K88" s="9">
        <f t="shared" si="11"/>
        <v>9.6987677564627006E-2</v>
      </c>
    </row>
    <row r="89" spans="3:11" x14ac:dyDescent="0.25">
      <c r="C89" s="30"/>
      <c r="D89" s="1">
        <v>83</v>
      </c>
      <c r="E89" s="18">
        <v>40</v>
      </c>
      <c r="F89" s="7">
        <f t="shared" si="17"/>
        <v>58.481064203067973</v>
      </c>
      <c r="G89" s="10">
        <f t="shared" si="20"/>
        <v>-0.21494071645338059</v>
      </c>
      <c r="H89" s="7">
        <f t="shared" si="18"/>
        <v>0.68398208112467218</v>
      </c>
      <c r="I89" s="15">
        <f t="shared" si="21"/>
        <v>39.886395848293482</v>
      </c>
      <c r="J89" s="9">
        <f t="shared" si="19"/>
        <v>0.11360415170651805</v>
      </c>
      <c r="K89" s="9">
        <f t="shared" ref="K89:K110" si="22">ABS(J89)</f>
        <v>0.11360415170651805</v>
      </c>
    </row>
    <row r="90" spans="3:11" x14ac:dyDescent="0.25">
      <c r="C90" s="30"/>
      <c r="D90" s="1">
        <v>84</v>
      </c>
      <c r="E90" s="19">
        <v>71</v>
      </c>
      <c r="F90" s="7">
        <f t="shared" si="17"/>
        <v>73.612875449594796</v>
      </c>
      <c r="G90" s="10">
        <f t="shared" si="20"/>
        <v>1.1604697466424119E-3</v>
      </c>
      <c r="H90" s="7">
        <f t="shared" si="18"/>
        <v>0.96450518426788101</v>
      </c>
      <c r="I90" s="15">
        <f t="shared" si="21"/>
        <v>70.969533317282355</v>
      </c>
      <c r="J90" s="9">
        <f t="shared" si="19"/>
        <v>3.0466682717644744E-2</v>
      </c>
      <c r="K90" s="9">
        <f t="shared" si="22"/>
        <v>3.0466682717644744E-2</v>
      </c>
    </row>
    <row r="91" spans="3:11" x14ac:dyDescent="0.25">
      <c r="C91" s="30"/>
      <c r="D91" s="1">
        <v>85</v>
      </c>
      <c r="E91" s="18">
        <v>96</v>
      </c>
      <c r="F91" s="7">
        <f t="shared" si="17"/>
        <v>41.009936305058197</v>
      </c>
      <c r="G91" s="10">
        <f t="shared" si="20"/>
        <v>-0.45794544521349562</v>
      </c>
      <c r="H91" s="7">
        <f t="shared" si="18"/>
        <v>2.3408961010300153</v>
      </c>
      <c r="I91" s="15">
        <f t="shared" si="21"/>
        <v>95.089386551620805</v>
      </c>
      <c r="J91" s="9">
        <f t="shared" si="19"/>
        <v>0.91061344837919478</v>
      </c>
      <c r="K91" s="9">
        <f t="shared" si="22"/>
        <v>0.91061344837919478</v>
      </c>
    </row>
    <row r="92" spans="3:11" x14ac:dyDescent="0.25">
      <c r="C92" s="30"/>
      <c r="D92" s="1">
        <v>86</v>
      </c>
      <c r="E92" s="19">
        <v>64</v>
      </c>
      <c r="F92" s="7">
        <f t="shared" si="17"/>
        <v>46.64377749897676</v>
      </c>
      <c r="G92" s="10">
        <f t="shared" si="20"/>
        <v>-0.37216557974297504</v>
      </c>
      <c r="H92" s="7">
        <f t="shared" si="18"/>
        <v>1.3721015627733837</v>
      </c>
      <c r="I92" s="15">
        <f t="shared" si="21"/>
        <v>63.471654409399754</v>
      </c>
      <c r="J92" s="9">
        <f t="shared" si="19"/>
        <v>0.52834559060024588</v>
      </c>
      <c r="K92" s="9">
        <f t="shared" si="22"/>
        <v>0.52834559060024588</v>
      </c>
    </row>
    <row r="93" spans="3:11" x14ac:dyDescent="0.25">
      <c r="C93" s="30"/>
      <c r="D93" s="1">
        <v>87</v>
      </c>
      <c r="E93" s="18">
        <v>41</v>
      </c>
      <c r="F93" s="7">
        <f t="shared" si="17"/>
        <v>77.826850637733443</v>
      </c>
      <c r="G93" s="10">
        <f t="shared" si="20"/>
        <v>7.2171080831322509E-2</v>
      </c>
      <c r="H93" s="7">
        <f t="shared" si="18"/>
        <v>0.52681047304414019</v>
      </c>
      <c r="I93" s="15">
        <f t="shared" si="21"/>
        <v>41.002529979985127</v>
      </c>
      <c r="J93" s="9">
        <f t="shared" si="19"/>
        <v>-2.529979985126829E-3</v>
      </c>
      <c r="K93" s="9">
        <f t="shared" si="22"/>
        <v>2.529979985126829E-3</v>
      </c>
    </row>
    <row r="94" spans="3:11" x14ac:dyDescent="0.25">
      <c r="C94" s="30"/>
      <c r="D94" s="1">
        <v>88</v>
      </c>
      <c r="E94" s="19">
        <v>38</v>
      </c>
      <c r="F94" s="7">
        <f t="shared" si="17"/>
        <v>23.48847682373065</v>
      </c>
      <c r="G94" s="10">
        <f t="shared" si="20"/>
        <v>-0.69399646536520321</v>
      </c>
      <c r="H94" s="7">
        <f t="shared" si="18"/>
        <v>1.6178145686146923</v>
      </c>
      <c r="I94" s="15">
        <f t="shared" si="21"/>
        <v>37.060515683980661</v>
      </c>
      <c r="J94" s="9">
        <f t="shared" si="19"/>
        <v>0.93948431601933891</v>
      </c>
      <c r="K94" s="9">
        <f t="shared" si="22"/>
        <v>0.93948431601933891</v>
      </c>
    </row>
    <row r="95" spans="3:11" x14ac:dyDescent="0.25">
      <c r="C95" s="30"/>
      <c r="D95" s="1">
        <v>89</v>
      </c>
      <c r="E95" s="18">
        <v>109</v>
      </c>
      <c r="F95" s="7">
        <f t="shared" ref="F95:F110" si="23">$P$2*(E95/H80)+(1-$P$2)*(F94+G94)</f>
        <v>189.88357526006658</v>
      </c>
      <c r="G95" s="10">
        <f t="shared" si="20"/>
        <v>1.6588239683296111</v>
      </c>
      <c r="H95" s="7">
        <f t="shared" ref="H95:H110" si="24">$P$4*(E95/F95)+(1-$P$4)*H80</f>
        <v>0.5740359578268549</v>
      </c>
      <c r="I95" s="15">
        <f t="shared" si="21"/>
        <v>109.74606236853373</v>
      </c>
      <c r="J95" s="9">
        <f t="shared" ref="J95:J110" si="25">E95-I95</f>
        <v>-0.7460623685337282</v>
      </c>
      <c r="K95" s="9">
        <f t="shared" si="22"/>
        <v>0.7460623685337282</v>
      </c>
    </row>
    <row r="96" spans="3:11" x14ac:dyDescent="0.25">
      <c r="C96" s="30"/>
      <c r="D96" s="1">
        <v>90</v>
      </c>
      <c r="E96" s="19">
        <v>99</v>
      </c>
      <c r="F96" s="7">
        <f t="shared" si="23"/>
        <v>119.0059490702387</v>
      </c>
      <c r="G96" s="10">
        <f t="shared" si="20"/>
        <v>0.63742133148965963</v>
      </c>
      <c r="H96" s="7">
        <f t="shared" si="24"/>
        <v>0.83189118504965698</v>
      </c>
      <c r="I96" s="15">
        <f t="shared" si="21"/>
        <v>99.659943611980339</v>
      </c>
      <c r="J96" s="9">
        <f t="shared" si="25"/>
        <v>-0.65994361198033857</v>
      </c>
      <c r="K96" s="9">
        <f t="shared" si="22"/>
        <v>0.65994361198033857</v>
      </c>
    </row>
    <row r="97" spans="3:11" x14ac:dyDescent="0.25">
      <c r="C97" s="30"/>
      <c r="D97" s="1">
        <v>91</v>
      </c>
      <c r="E97" s="18">
        <v>6</v>
      </c>
      <c r="F97" s="7">
        <f t="shared" si="23"/>
        <v>6.1758449923521432</v>
      </c>
      <c r="G97" s="10">
        <f t="shared" si="20"/>
        <v>-0.96034130227781755</v>
      </c>
      <c r="H97" s="7">
        <f t="shared" si="24"/>
        <v>0.97152697443509339</v>
      </c>
      <c r="I97" s="15">
        <f t="shared" si="21"/>
        <v>5.273856048276266</v>
      </c>
      <c r="J97" s="9">
        <f t="shared" si="25"/>
        <v>0.72614395172373403</v>
      </c>
      <c r="K97" s="9">
        <f t="shared" si="22"/>
        <v>0.72614395172373403</v>
      </c>
    </row>
    <row r="98" spans="3:11" x14ac:dyDescent="0.25">
      <c r="C98" s="30"/>
      <c r="D98" s="1">
        <v>92</v>
      </c>
      <c r="E98" s="19">
        <v>43</v>
      </c>
      <c r="F98" s="7">
        <f t="shared" si="23"/>
        <v>100.00452837688286</v>
      </c>
      <c r="G98" s="10">
        <f t="shared" si="20"/>
        <v>0.37440501557332295</v>
      </c>
      <c r="H98" s="7">
        <f t="shared" si="24"/>
        <v>0.42998052886113025</v>
      </c>
      <c r="I98" s="15">
        <f t="shared" si="21"/>
        <v>43.07382805030084</v>
      </c>
      <c r="J98" s="9">
        <f t="shared" si="25"/>
        <v>-7.382805030083972E-2</v>
      </c>
      <c r="K98" s="9">
        <f t="shared" si="22"/>
        <v>7.382805030083972E-2</v>
      </c>
    </row>
    <row r="99" spans="3:11" x14ac:dyDescent="0.25">
      <c r="C99" s="30"/>
      <c r="D99" s="1">
        <v>93</v>
      </c>
      <c r="E99" s="18">
        <v>10</v>
      </c>
      <c r="F99" s="7">
        <f t="shared" si="23"/>
        <v>10.432677950083775</v>
      </c>
      <c r="G99" s="10">
        <f t="shared" si="20"/>
        <v>-0.89214914143882718</v>
      </c>
      <c r="H99" s="7">
        <f t="shared" si="24"/>
        <v>0.95852666475913784</v>
      </c>
      <c r="I99" s="15">
        <f t="shared" si="21"/>
        <v>9.3163224897188535</v>
      </c>
      <c r="J99" s="9">
        <f t="shared" si="25"/>
        <v>0.68367751028114654</v>
      </c>
      <c r="K99" s="9">
        <f t="shared" si="22"/>
        <v>0.68367751028114654</v>
      </c>
    </row>
    <row r="100" spans="3:11" x14ac:dyDescent="0.25">
      <c r="C100" s="30"/>
      <c r="D100" s="1">
        <v>94</v>
      </c>
      <c r="E100" s="19">
        <v>44</v>
      </c>
      <c r="F100" s="7">
        <f t="shared" si="23"/>
        <v>195.78072351960498</v>
      </c>
      <c r="G100" s="10">
        <f t="shared" si="20"/>
        <v>1.7303423859049269</v>
      </c>
      <c r="H100" s="7">
        <f t="shared" si="24"/>
        <v>0.22474122686339931</v>
      </c>
      <c r="I100" s="15">
        <f t="shared" si="21"/>
        <v>44.298917898663007</v>
      </c>
      <c r="J100" s="9">
        <f t="shared" si="25"/>
        <v>-0.29891789866300655</v>
      </c>
      <c r="K100" s="9">
        <f t="shared" si="22"/>
        <v>0.29891789866300655</v>
      </c>
    </row>
    <row r="101" spans="3:11" x14ac:dyDescent="0.25">
      <c r="C101" s="30"/>
      <c r="D101" s="1">
        <v>95</v>
      </c>
      <c r="E101" s="18">
        <v>60</v>
      </c>
      <c r="F101" s="7">
        <f t="shared" si="23"/>
        <v>48.438089342758005</v>
      </c>
      <c r="G101" s="10">
        <f t="shared" si="20"/>
        <v>-0.36878889238042745</v>
      </c>
      <c r="H101" s="7">
        <f t="shared" si="24"/>
        <v>1.2386946061275768</v>
      </c>
      <c r="I101" s="15">
        <f t="shared" si="21"/>
        <v>59.936974564654058</v>
      </c>
      <c r="J101" s="9">
        <f t="shared" si="25"/>
        <v>6.3025435345942071E-2</v>
      </c>
      <c r="K101" s="9">
        <f t="shared" si="22"/>
        <v>6.3025435345942071E-2</v>
      </c>
    </row>
    <row r="102" spans="3:11" x14ac:dyDescent="0.25">
      <c r="C102" s="30"/>
      <c r="D102" s="1">
        <v>96</v>
      </c>
      <c r="E102" s="19">
        <v>37</v>
      </c>
      <c r="F102" s="7">
        <f t="shared" si="23"/>
        <v>36.371114356078877</v>
      </c>
      <c r="G102" s="10">
        <f t="shared" si="20"/>
        <v>-0.53351377341484074</v>
      </c>
      <c r="H102" s="7">
        <f t="shared" si="24"/>
        <v>1.0172907994449727</v>
      </c>
      <c r="I102" s="15">
        <f t="shared" si="21"/>
        <v>36.482311115960393</v>
      </c>
      <c r="J102" s="9">
        <f t="shared" si="25"/>
        <v>0.51768888403960744</v>
      </c>
      <c r="K102" s="9">
        <f t="shared" si="22"/>
        <v>0.51768888403960744</v>
      </c>
    </row>
    <row r="103" spans="3:11" x14ac:dyDescent="0.25">
      <c r="C103" s="30"/>
      <c r="D103" s="1">
        <v>97</v>
      </c>
      <c r="E103" s="18">
        <v>174</v>
      </c>
      <c r="F103" s="7">
        <f t="shared" si="23"/>
        <v>252.21063821944159</v>
      </c>
      <c r="G103" s="10">
        <f t="shared" si="20"/>
        <v>2.5132853282974783</v>
      </c>
      <c r="H103" s="7">
        <f t="shared" si="24"/>
        <v>0.68989952695257584</v>
      </c>
      <c r="I103" s="15">
        <f t="shared" si="21"/>
        <v>175.41265179603516</v>
      </c>
      <c r="J103" s="9">
        <f t="shared" si="25"/>
        <v>-1.4126517960351634</v>
      </c>
      <c r="K103" s="9">
        <f t="shared" si="22"/>
        <v>1.4126517960351634</v>
      </c>
    </row>
    <row r="104" spans="3:11" x14ac:dyDescent="0.25">
      <c r="C104" s="30"/>
      <c r="D104" s="1">
        <v>98</v>
      </c>
      <c r="E104" s="19">
        <v>49</v>
      </c>
      <c r="F104" s="7">
        <f t="shared" si="23"/>
        <v>72.029322123063309</v>
      </c>
      <c r="G104" s="10">
        <f t="shared" si="20"/>
        <v>-5.9279874779282427E-2</v>
      </c>
      <c r="H104" s="7">
        <f t="shared" si="24"/>
        <v>0.68027851096922276</v>
      </c>
      <c r="I104" s="15">
        <f t="shared" si="21"/>
        <v>49.226219275611889</v>
      </c>
      <c r="J104" s="9">
        <f t="shared" si="25"/>
        <v>-0.22621927561188926</v>
      </c>
      <c r="K104" s="9">
        <f t="shared" si="22"/>
        <v>0.22621927561188926</v>
      </c>
    </row>
    <row r="105" spans="3:11" x14ac:dyDescent="0.25">
      <c r="C105" s="30"/>
      <c r="D105" s="1">
        <v>99</v>
      </c>
      <c r="E105" s="18">
        <v>83</v>
      </c>
      <c r="F105" s="7">
        <f t="shared" si="23"/>
        <v>86.024484621189742</v>
      </c>
      <c r="G105" s="10">
        <f t="shared" si="20"/>
        <v>0.13862399931024166</v>
      </c>
      <c r="H105" s="7">
        <f t="shared" si="24"/>
        <v>0.96484158394545327</v>
      </c>
      <c r="I105" s="15">
        <f t="shared" si="21"/>
        <v>83.104764957108785</v>
      </c>
      <c r="J105" s="9">
        <f t="shared" si="25"/>
        <v>-0.10476495710878453</v>
      </c>
      <c r="K105" s="9">
        <f t="shared" si="22"/>
        <v>0.10476495710878453</v>
      </c>
    </row>
    <row r="106" spans="3:11" x14ac:dyDescent="0.25">
      <c r="C106" s="30"/>
      <c r="D106" s="1">
        <v>100</v>
      </c>
      <c r="E106" s="19">
        <v>64</v>
      </c>
      <c r="F106" s="7">
        <f t="shared" si="23"/>
        <v>27.465266345562121</v>
      </c>
      <c r="G106" s="10">
        <f t="shared" si="20"/>
        <v>-0.68791397912286234</v>
      </c>
      <c r="H106" s="7">
        <f t="shared" si="24"/>
        <v>2.3302158877604047</v>
      </c>
      <c r="I106" s="15">
        <f t="shared" si="21"/>
        <v>62.682999750504514</v>
      </c>
      <c r="J106" s="9">
        <f t="shared" si="25"/>
        <v>1.3170002494954858</v>
      </c>
      <c r="K106" s="9">
        <f t="shared" si="22"/>
        <v>1.3170002494954858</v>
      </c>
    </row>
    <row r="107" spans="3:11" x14ac:dyDescent="0.25">
      <c r="C107" s="30"/>
      <c r="D107" s="1">
        <v>101</v>
      </c>
      <c r="E107" s="18">
        <v>85</v>
      </c>
      <c r="F107" s="7">
        <f t="shared" si="23"/>
        <v>61.87384261171615</v>
      </c>
      <c r="G107" s="10">
        <f t="shared" si="20"/>
        <v>-0.19371213160769274</v>
      </c>
      <c r="H107" s="7">
        <f t="shared" si="24"/>
        <v>1.3737630703399175</v>
      </c>
      <c r="I107" s="15">
        <f t="shared" si="21"/>
        <v>84.631403423823031</v>
      </c>
      <c r="J107" s="9">
        <f t="shared" si="25"/>
        <v>0.36859657617696939</v>
      </c>
      <c r="K107" s="9">
        <f t="shared" si="22"/>
        <v>0.36859657617696939</v>
      </c>
    </row>
    <row r="108" spans="3:11" x14ac:dyDescent="0.25">
      <c r="C108" s="30"/>
      <c r="D108" s="1">
        <v>102</v>
      </c>
      <c r="E108" s="19">
        <v>52</v>
      </c>
      <c r="F108" s="7">
        <f t="shared" si="23"/>
        <v>98.628347732481018</v>
      </c>
      <c r="G108" s="10">
        <f t="shared" si="20"/>
        <v>0.32656431486608839</v>
      </c>
      <c r="H108" s="7">
        <f t="shared" si="24"/>
        <v>0.52723178675814897</v>
      </c>
      <c r="I108" s="15">
        <f t="shared" si="21"/>
        <v>52.13048402570422</v>
      </c>
      <c r="J108" s="9">
        <f t="shared" si="25"/>
        <v>-0.13048402570422013</v>
      </c>
      <c r="K108" s="9">
        <f t="shared" si="22"/>
        <v>0.13048402570422013</v>
      </c>
    </row>
    <row r="109" spans="3:11" x14ac:dyDescent="0.25">
      <c r="C109" s="30"/>
      <c r="D109" s="1">
        <v>103</v>
      </c>
      <c r="E109" s="18">
        <v>59</v>
      </c>
      <c r="F109" s="7">
        <f t="shared" si="23"/>
        <v>36.602062417252156</v>
      </c>
      <c r="G109" s="10">
        <f t="shared" si="20"/>
        <v>-0.55144067280288223</v>
      </c>
      <c r="H109" s="7">
        <f t="shared" si="24"/>
        <v>1.6119310252908239</v>
      </c>
      <c r="I109" s="15">
        <f t="shared" si="21"/>
        <v>58.323221065787649</v>
      </c>
      <c r="J109" s="9">
        <f t="shared" si="25"/>
        <v>0.67677893421235069</v>
      </c>
      <c r="K109" s="9">
        <f t="shared" si="22"/>
        <v>0.67677893421235069</v>
      </c>
    </row>
    <row r="110" spans="3:11" x14ac:dyDescent="0.25">
      <c r="C110" s="30"/>
      <c r="D110" s="1">
        <v>104</v>
      </c>
      <c r="E110" s="19">
        <v>112</v>
      </c>
      <c r="F110" s="7">
        <f t="shared" si="23"/>
        <v>194.77089090539738</v>
      </c>
      <c r="G110" s="10">
        <f t="shared" si="20"/>
        <v>1.6835363778724792</v>
      </c>
      <c r="H110" s="7">
        <f t="shared" si="24"/>
        <v>0.57503459310251748</v>
      </c>
      <c r="I110" s="15">
        <f t="shared" si="21"/>
        <v>112.77190533487803</v>
      </c>
      <c r="J110" s="9">
        <f t="shared" si="25"/>
        <v>-0.77190533487802782</v>
      </c>
      <c r="K110" s="9">
        <f t="shared" si="22"/>
        <v>0.77190533487802782</v>
      </c>
    </row>
  </sheetData>
  <mergeCells count="4">
    <mergeCell ref="C7:C32"/>
    <mergeCell ref="C33:C58"/>
    <mergeCell ref="C59:C84"/>
    <mergeCell ref="C85:C110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110"/>
  <sheetViews>
    <sheetView topLeftCell="C1" zoomScale="70" zoomScaleNormal="70" workbookViewId="0">
      <selection activeCell="P76" sqref="P76"/>
    </sheetView>
  </sheetViews>
  <sheetFormatPr defaultRowHeight="15" x14ac:dyDescent="0.25"/>
  <cols>
    <col min="1" max="8" width="9.140625" style="1"/>
    <col min="9" max="9" width="9.140625" style="16"/>
    <col min="10" max="16384" width="9.140625" style="1"/>
  </cols>
  <sheetData>
    <row r="2" spans="3:22" x14ac:dyDescent="0.25">
      <c r="O2" s="8" t="s">
        <v>8</v>
      </c>
      <c r="P2" s="8">
        <v>0.99912967511881334</v>
      </c>
      <c r="U2" s="13" t="s">
        <v>17</v>
      </c>
      <c r="V2" s="13">
        <v>0</v>
      </c>
    </row>
    <row r="3" spans="3:22" x14ac:dyDescent="0.25">
      <c r="O3" s="8" t="s">
        <v>9</v>
      </c>
      <c r="P3" s="8">
        <v>2.6000989566905656E-3</v>
      </c>
      <c r="Q3" s="1" t="s">
        <v>11</v>
      </c>
      <c r="R3" s="1">
        <f>SUM(K21:K84)</f>
        <v>3.4844722537277946</v>
      </c>
      <c r="U3" s="13" t="s">
        <v>18</v>
      </c>
      <c r="V3" s="13">
        <v>41.459280624977097</v>
      </c>
    </row>
    <row r="4" spans="3:22" x14ac:dyDescent="0.25">
      <c r="O4" s="8" t="s">
        <v>10</v>
      </c>
      <c r="P4" s="8">
        <v>1</v>
      </c>
      <c r="U4" s="1" t="s">
        <v>20</v>
      </c>
      <c r="V4" s="1">
        <f>SUM(Q7:Q70)</f>
        <v>28456.863505959715</v>
      </c>
    </row>
    <row r="5" spans="3:22" x14ac:dyDescent="0.25">
      <c r="V5" s="1">
        <f>COUNT($P$2:$P$4)</f>
        <v>3</v>
      </c>
    </row>
    <row r="6" spans="3:22" x14ac:dyDescent="0.25">
      <c r="D6" s="1" t="s">
        <v>7</v>
      </c>
      <c r="E6" s="2" t="s">
        <v>0</v>
      </c>
      <c r="F6" s="1" t="s">
        <v>1</v>
      </c>
      <c r="G6" s="1" t="s">
        <v>4</v>
      </c>
      <c r="H6" s="1" t="s">
        <v>2</v>
      </c>
      <c r="I6" s="16" t="s">
        <v>3</v>
      </c>
      <c r="J6" s="1" t="s">
        <v>5</v>
      </c>
      <c r="K6" s="1" t="s">
        <v>6</v>
      </c>
      <c r="L6" s="1" t="s">
        <v>15</v>
      </c>
      <c r="O6" s="8" t="s">
        <v>16</v>
      </c>
      <c r="P6" s="1" t="s">
        <v>19</v>
      </c>
      <c r="Q6" s="1" t="s">
        <v>11</v>
      </c>
    </row>
    <row r="7" spans="3:22" x14ac:dyDescent="0.25">
      <c r="C7" s="27" t="s">
        <v>21</v>
      </c>
      <c r="D7" s="1">
        <v>1</v>
      </c>
      <c r="E7" s="20">
        <v>68.604650000000007</v>
      </c>
      <c r="F7" s="3"/>
      <c r="G7" s="3"/>
      <c r="H7" s="3">
        <f t="shared" ref="H7:H21" si="0">E7/$A$44</f>
        <v>1.6121830787446327</v>
      </c>
      <c r="J7" s="3"/>
      <c r="K7" s="3"/>
      <c r="L7" s="3"/>
      <c r="M7" s="14">
        <f t="shared" ref="M7:M38" si="1">AVERAGE(E7:E21)</f>
        <v>42.553882933333327</v>
      </c>
      <c r="N7" s="14"/>
      <c r="O7" s="1">
        <f>$V$2*D7+$V$3</f>
        <v>41.459280624977097</v>
      </c>
      <c r="P7" s="1">
        <f t="shared" ref="P7:P39" si="2">E7-O7</f>
        <v>27.145369375022909</v>
      </c>
      <c r="Q7" s="1">
        <f>P7*P7</f>
        <v>736.87107850643167</v>
      </c>
    </row>
    <row r="8" spans="3:22" x14ac:dyDescent="0.25">
      <c r="C8" s="27"/>
      <c r="D8" s="1">
        <v>2</v>
      </c>
      <c r="E8" s="20">
        <v>97.093024999999997</v>
      </c>
      <c r="F8" s="3"/>
      <c r="G8" s="3"/>
      <c r="H8" s="3">
        <f t="shared" si="0"/>
        <v>2.281649013137296</v>
      </c>
      <c r="J8" s="3"/>
      <c r="K8" s="3"/>
      <c r="L8" s="3"/>
      <c r="M8" s="14">
        <f t="shared" si="1"/>
        <v>40.697002666666663</v>
      </c>
      <c r="N8" s="14"/>
      <c r="O8" s="1">
        <f t="shared" ref="O8:O39" si="3">$V$2*D8+$V$3</f>
        <v>41.459280624977097</v>
      </c>
      <c r="P8" s="1">
        <f t="shared" si="2"/>
        <v>55.6337443750229</v>
      </c>
      <c r="Q8" s="1">
        <f t="shared" ref="Q8:Q39" si="4">P8*P8</f>
        <v>3095.1135131853921</v>
      </c>
    </row>
    <row r="9" spans="3:22" x14ac:dyDescent="0.25">
      <c r="C9" s="27"/>
      <c r="D9" s="1">
        <v>3</v>
      </c>
      <c r="E9" s="20">
        <v>29.069766999999999</v>
      </c>
      <c r="F9" s="3"/>
      <c r="G9" s="3"/>
      <c r="H9" s="3">
        <f t="shared" si="0"/>
        <v>0.68312842439177401</v>
      </c>
      <c r="J9" s="3"/>
      <c r="K9" s="3"/>
      <c r="L9" s="3"/>
      <c r="M9" s="14">
        <f t="shared" si="1"/>
        <v>35.091186333333333</v>
      </c>
      <c r="N9" s="14"/>
      <c r="O9" s="1">
        <f t="shared" si="3"/>
        <v>41.459280624977097</v>
      </c>
      <c r="P9" s="1">
        <f t="shared" si="2"/>
        <v>-12.389513624977099</v>
      </c>
      <c r="Q9" s="1">
        <f t="shared" si="4"/>
        <v>153.50004786349317</v>
      </c>
    </row>
    <row r="10" spans="3:22" x14ac:dyDescent="0.25">
      <c r="C10" s="27"/>
      <c r="D10" s="1">
        <v>4</v>
      </c>
      <c r="E10" s="20">
        <v>27.906977000000001</v>
      </c>
      <c r="F10" s="3"/>
      <c r="G10" s="3"/>
      <c r="H10" s="3">
        <f t="shared" si="0"/>
        <v>0.65580330339584347</v>
      </c>
      <c r="J10" s="3"/>
      <c r="K10" s="3"/>
      <c r="L10" s="3"/>
      <c r="M10" s="14">
        <f t="shared" si="1"/>
        <v>35.253394533333328</v>
      </c>
      <c r="N10" s="14"/>
      <c r="O10" s="1">
        <f t="shared" si="3"/>
        <v>41.459280624977097</v>
      </c>
      <c r="P10" s="1">
        <f t="shared" si="2"/>
        <v>-13.552303624977096</v>
      </c>
      <c r="Q10" s="1">
        <f t="shared" si="4"/>
        <v>183.66493354356734</v>
      </c>
    </row>
    <row r="11" spans="3:22" x14ac:dyDescent="0.25">
      <c r="C11" s="27"/>
      <c r="D11" s="1">
        <v>5</v>
      </c>
      <c r="E11" s="20">
        <v>18.895350000000001</v>
      </c>
      <c r="F11" s="3"/>
      <c r="G11" s="3"/>
      <c r="H11" s="3">
        <f t="shared" si="0"/>
        <v>0.44403350992909946</v>
      </c>
      <c r="J11" s="3"/>
      <c r="K11" s="3"/>
      <c r="L11" s="3"/>
      <c r="M11" s="14">
        <f t="shared" si="1"/>
        <v>36.456513399999999</v>
      </c>
      <c r="N11" s="14"/>
      <c r="O11" s="1">
        <f t="shared" si="3"/>
        <v>41.459280624977097</v>
      </c>
      <c r="P11" s="1">
        <f t="shared" si="2"/>
        <v>-22.563930624977097</v>
      </c>
      <c r="Q11" s="1">
        <f t="shared" si="4"/>
        <v>509.13096524877932</v>
      </c>
    </row>
    <row r="12" spans="3:22" x14ac:dyDescent="0.25">
      <c r="C12" s="27"/>
      <c r="D12" s="1">
        <v>6</v>
      </c>
      <c r="E12" s="20">
        <v>16.569766999999999</v>
      </c>
      <c r="F12" s="3"/>
      <c r="G12" s="3"/>
      <c r="H12" s="3">
        <f t="shared" si="0"/>
        <v>0.38938319743838373</v>
      </c>
      <c r="J12" s="3"/>
      <c r="K12" s="3"/>
      <c r="L12" s="3"/>
      <c r="M12" s="14">
        <f t="shared" si="1"/>
        <v>36.776784933333332</v>
      </c>
      <c r="N12" s="14"/>
      <c r="O12" s="1">
        <f t="shared" si="3"/>
        <v>41.459280624977097</v>
      </c>
      <c r="P12" s="1">
        <f t="shared" si="2"/>
        <v>-24.889513624977099</v>
      </c>
      <c r="Q12" s="1">
        <f t="shared" si="4"/>
        <v>619.4878884879206</v>
      </c>
    </row>
    <row r="13" spans="3:22" x14ac:dyDescent="0.25">
      <c r="C13" s="27"/>
      <c r="D13" s="1">
        <v>7</v>
      </c>
      <c r="E13" s="20">
        <v>94.476746000000006</v>
      </c>
      <c r="F13" s="3"/>
      <c r="G13" s="3"/>
      <c r="H13" s="3">
        <f t="shared" si="0"/>
        <v>2.220167455647025</v>
      </c>
      <c r="J13" s="3"/>
      <c r="K13" s="3"/>
      <c r="L13" s="3"/>
      <c r="M13" s="14">
        <f t="shared" si="1"/>
        <v>39.233882066666666</v>
      </c>
      <c r="N13" s="14"/>
      <c r="O13" s="1">
        <f t="shared" si="3"/>
        <v>41.459280624977097</v>
      </c>
      <c r="P13" s="1">
        <f t="shared" si="2"/>
        <v>53.017465375022908</v>
      </c>
      <c r="Q13" s="1">
        <f t="shared" si="4"/>
        <v>2810.851634791753</v>
      </c>
    </row>
    <row r="14" spans="3:22" x14ac:dyDescent="0.25">
      <c r="C14" s="27"/>
      <c r="D14" s="1">
        <v>8</v>
      </c>
      <c r="E14" s="20">
        <v>15.406976999999999</v>
      </c>
      <c r="F14" s="3"/>
      <c r="G14" s="3"/>
      <c r="H14" s="3">
        <f t="shared" si="0"/>
        <v>0.36205807644245314</v>
      </c>
      <c r="J14" s="3"/>
      <c r="K14" s="3"/>
      <c r="L14" s="3"/>
      <c r="M14" s="14">
        <f t="shared" si="1"/>
        <v>35.853234999999998</v>
      </c>
      <c r="N14" s="14"/>
      <c r="O14" s="1">
        <f t="shared" si="3"/>
        <v>41.459280624977097</v>
      </c>
      <c r="P14" s="1">
        <f t="shared" si="2"/>
        <v>-26.0523036249771</v>
      </c>
      <c r="Q14" s="1">
        <f t="shared" si="4"/>
        <v>678.72252416799495</v>
      </c>
    </row>
    <row r="15" spans="3:22" x14ac:dyDescent="0.25">
      <c r="C15" s="27"/>
      <c r="D15" s="1">
        <v>9</v>
      </c>
      <c r="E15" s="20">
        <v>87.5</v>
      </c>
      <c r="F15" s="3"/>
      <c r="G15" s="3"/>
      <c r="H15" s="3">
        <f t="shared" si="0"/>
        <v>2.056216588673732</v>
      </c>
      <c r="J15" s="3"/>
      <c r="K15" s="3"/>
      <c r="L15" s="3"/>
      <c r="M15" s="14">
        <f t="shared" si="1"/>
        <v>39.271037866666667</v>
      </c>
      <c r="N15" s="14"/>
      <c r="O15" s="1">
        <f t="shared" si="3"/>
        <v>41.459280624977097</v>
      </c>
      <c r="P15" s="1">
        <f t="shared" si="2"/>
        <v>46.040719375022903</v>
      </c>
      <c r="Q15" s="1">
        <f t="shared" si="4"/>
        <v>2119.7478405696093</v>
      </c>
    </row>
    <row r="16" spans="3:22" x14ac:dyDescent="0.25">
      <c r="C16" s="27"/>
      <c r="D16" s="1">
        <v>10</v>
      </c>
      <c r="E16" s="20">
        <v>21.802326000000001</v>
      </c>
      <c r="F16" s="3"/>
      <c r="G16" s="3"/>
      <c r="H16" s="3">
        <f t="shared" si="0"/>
        <v>0.51234633591854417</v>
      </c>
      <c r="J16" s="3"/>
      <c r="K16" s="3"/>
      <c r="L16" s="3"/>
      <c r="M16" s="14">
        <f t="shared" si="1"/>
        <v>37.219981866666664</v>
      </c>
      <c r="N16" s="14"/>
      <c r="O16" s="1">
        <f t="shared" si="3"/>
        <v>41.459280624977097</v>
      </c>
      <c r="P16" s="1">
        <f t="shared" si="2"/>
        <v>-19.656954624977097</v>
      </c>
      <c r="Q16" s="1">
        <f t="shared" si="4"/>
        <v>386.39586512840845</v>
      </c>
    </row>
    <row r="17" spans="3:17" x14ac:dyDescent="0.25">
      <c r="C17" s="27"/>
      <c r="D17" s="1">
        <v>11</v>
      </c>
      <c r="E17" s="20">
        <v>33.526012000000001</v>
      </c>
      <c r="F17" s="3"/>
      <c r="G17" s="3"/>
      <c r="H17" s="3">
        <f t="shared" si="0"/>
        <v>0.78784848030256693</v>
      </c>
      <c r="J17" s="3"/>
      <c r="K17" s="3"/>
      <c r="L17" s="3"/>
      <c r="M17" s="14">
        <f t="shared" si="1"/>
        <v>40.12642413333333</v>
      </c>
      <c r="N17" s="14"/>
      <c r="O17" s="1">
        <f t="shared" si="3"/>
        <v>41.459280624977097</v>
      </c>
      <c r="P17" s="1">
        <f t="shared" si="2"/>
        <v>-7.9332686249770958</v>
      </c>
      <c r="Q17" s="1">
        <f t="shared" si="4"/>
        <v>62.936751076045979</v>
      </c>
    </row>
    <row r="18" spans="3:17" x14ac:dyDescent="0.25">
      <c r="C18" s="27"/>
      <c r="D18" s="1">
        <v>12</v>
      </c>
      <c r="E18" s="20">
        <v>16.473987999999999</v>
      </c>
      <c r="F18" s="3"/>
      <c r="G18" s="3"/>
      <c r="H18" s="3">
        <f t="shared" si="0"/>
        <v>0.38713242751099425</v>
      </c>
      <c r="J18" s="3"/>
      <c r="K18" s="3"/>
      <c r="L18" s="3"/>
      <c r="M18" s="14">
        <f t="shared" si="1"/>
        <v>38.836157533333335</v>
      </c>
      <c r="N18" s="14"/>
      <c r="O18" s="1">
        <f t="shared" si="3"/>
        <v>41.459280624977097</v>
      </c>
      <c r="P18" s="1">
        <f t="shared" si="2"/>
        <v>-24.985292624977099</v>
      </c>
      <c r="Q18" s="1">
        <f t="shared" si="4"/>
        <v>624.26484755573506</v>
      </c>
    </row>
    <row r="19" spans="3:17" x14ac:dyDescent="0.25">
      <c r="C19" s="27"/>
      <c r="D19" s="1">
        <v>13</v>
      </c>
      <c r="E19" s="20">
        <v>29.190752</v>
      </c>
      <c r="F19" s="3"/>
      <c r="G19" s="3"/>
      <c r="H19" s="3">
        <f t="shared" si="0"/>
        <v>0.68597152569441056</v>
      </c>
      <c r="J19" s="3"/>
      <c r="K19" s="3"/>
      <c r="L19" s="3"/>
      <c r="M19" s="14">
        <f t="shared" si="1"/>
        <v>38.53789166666666</v>
      </c>
      <c r="O19" s="1">
        <f t="shared" si="3"/>
        <v>41.459280624977097</v>
      </c>
      <c r="P19" s="1">
        <f t="shared" si="2"/>
        <v>-12.268528624977098</v>
      </c>
      <c r="Q19" s="1">
        <f t="shared" si="4"/>
        <v>150.51679462188244</v>
      </c>
    </row>
    <row r="20" spans="3:17" x14ac:dyDescent="0.25">
      <c r="C20" s="27"/>
      <c r="D20" s="1">
        <v>14</v>
      </c>
      <c r="E20" s="20">
        <v>52.312137999999997</v>
      </c>
      <c r="F20" s="3"/>
      <c r="G20" s="3"/>
      <c r="H20" s="3">
        <f t="shared" si="0"/>
        <v>1.2293152679381658</v>
      </c>
      <c r="J20" s="3"/>
      <c r="K20" s="3"/>
      <c r="L20" s="3"/>
      <c r="M20" s="14">
        <f t="shared" si="1"/>
        <v>38.525174866666667</v>
      </c>
      <c r="O20" s="1">
        <f t="shared" si="3"/>
        <v>41.459280624977097</v>
      </c>
      <c r="P20" s="1">
        <f t="shared" si="2"/>
        <v>10.8528573750229</v>
      </c>
      <c r="Q20" s="1">
        <f t="shared" si="4"/>
        <v>117.78451320258895</v>
      </c>
    </row>
    <row r="21" spans="3:17" x14ac:dyDescent="0.25">
      <c r="C21" s="27"/>
      <c r="D21" s="1">
        <v>15</v>
      </c>
      <c r="E21" s="20">
        <v>29.479769000000001</v>
      </c>
      <c r="F21" s="3">
        <f>V3</f>
        <v>41.459280624977097</v>
      </c>
      <c r="G21" s="3">
        <f>V2</f>
        <v>0</v>
      </c>
      <c r="H21" s="3">
        <f t="shared" si="0"/>
        <v>0.69276331483508158</v>
      </c>
      <c r="J21" s="7"/>
      <c r="K21" s="7"/>
      <c r="L21" s="3"/>
      <c r="M21" s="14">
        <f t="shared" si="1"/>
        <v>38.037698999999996</v>
      </c>
      <c r="O21" s="1">
        <f t="shared" si="3"/>
        <v>41.459280624977097</v>
      </c>
      <c r="P21" s="1">
        <f t="shared" si="2"/>
        <v>-11.979511624977096</v>
      </c>
      <c r="Q21" s="1">
        <f t="shared" si="4"/>
        <v>143.5086987729614</v>
      </c>
    </row>
    <row r="22" spans="3:17" x14ac:dyDescent="0.25">
      <c r="C22" s="27"/>
      <c r="D22" s="1">
        <v>16</v>
      </c>
      <c r="E22" s="20">
        <v>40.751446000000001</v>
      </c>
      <c r="F22" s="6">
        <f t="shared" ref="F22:F53" si="5">$P$2*(E22/H7)+(1-$P$2)*(F21+G21)</f>
        <v>25.29126624160218</v>
      </c>
      <c r="G22" s="11">
        <f>$P$3*(F22-F21)+(1-$P$3)*G21</f>
        <v>-4.203843732997118E-2</v>
      </c>
      <c r="H22" s="6">
        <f t="shared" ref="H22:H53" si="6">$P$4*(E22/F22)+(1-$P$4)*H7</f>
        <v>1.6112853192366865</v>
      </c>
      <c r="I22" s="16">
        <f>(F22+(G22))*H7</f>
        <v>40.706377817416154</v>
      </c>
      <c r="J22" s="7">
        <f t="shared" ref="J22:J53" si="7">E22-I22</f>
        <v>4.5068182583847261E-2</v>
      </c>
      <c r="K22" s="7">
        <f t="shared" ref="K22:K23" si="8">ABS(J22)</f>
        <v>4.5068182583847261E-2</v>
      </c>
      <c r="L22" s="3"/>
      <c r="M22" s="14">
        <f t="shared" si="1"/>
        <v>37.672381066666667</v>
      </c>
      <c r="O22" s="1">
        <f t="shared" si="3"/>
        <v>41.459280624977097</v>
      </c>
      <c r="P22" s="1">
        <f t="shared" si="2"/>
        <v>-0.70783462497709593</v>
      </c>
      <c r="Q22" s="1">
        <f t="shared" si="4"/>
        <v>0.50102985631646602</v>
      </c>
    </row>
    <row r="23" spans="3:17" x14ac:dyDescent="0.25">
      <c r="C23" s="27"/>
      <c r="D23" s="1">
        <v>17</v>
      </c>
      <c r="E23" s="20">
        <v>13.00578</v>
      </c>
      <c r="F23" s="6">
        <f t="shared" si="5"/>
        <v>5.7171808543663234</v>
      </c>
      <c r="G23" s="11">
        <f t="shared" ref="G23:G54" si="9">$P$3*(F23-F22)+(1-$P$3)*G22</f>
        <v>-9.282369222645262E-2</v>
      </c>
      <c r="H23" s="6">
        <f t="shared" si="6"/>
        <v>2.2748589438214517</v>
      </c>
      <c r="I23" s="16">
        <f t="shared" ref="I23:I86" si="10">(F23+(G23))*H8</f>
        <v>12.83280896852812</v>
      </c>
      <c r="J23" s="7">
        <f t="shared" si="7"/>
        <v>0.17297103147187975</v>
      </c>
      <c r="K23" s="7">
        <f t="shared" si="8"/>
        <v>0.17297103147187975</v>
      </c>
      <c r="L23" s="3"/>
      <c r="M23" s="14">
        <f t="shared" si="1"/>
        <v>38.622284666666665</v>
      </c>
      <c r="O23" s="1">
        <f t="shared" si="3"/>
        <v>41.459280624977097</v>
      </c>
      <c r="P23" s="1">
        <f t="shared" si="2"/>
        <v>-28.453500624977096</v>
      </c>
      <c r="Q23" s="1">
        <f t="shared" si="4"/>
        <v>809.60169781557204</v>
      </c>
    </row>
    <row r="24" spans="3:17" x14ac:dyDescent="0.25">
      <c r="C24" s="27"/>
      <c r="D24" s="1">
        <v>18</v>
      </c>
      <c r="E24" s="20">
        <v>31.502890000000001</v>
      </c>
      <c r="F24" s="6">
        <f t="shared" si="5"/>
        <v>46.080378231882662</v>
      </c>
      <c r="G24" s="11">
        <f t="shared" si="9"/>
        <v>1.236596594883714E-2</v>
      </c>
      <c r="H24" s="6">
        <f t="shared" si="6"/>
        <v>0.68365085550021354</v>
      </c>
      <c r="I24" s="16">
        <f t="shared" si="10"/>
        <v>31.487263719757717</v>
      </c>
      <c r="J24" s="7">
        <f t="shared" si="7"/>
        <v>1.5626280242283741E-2</v>
      </c>
      <c r="K24" s="7">
        <f>ABS(J24)</f>
        <v>1.5626280242283741E-2</v>
      </c>
      <c r="M24" s="14">
        <f t="shared" si="1"/>
        <v>40.755232666666664</v>
      </c>
      <c r="O24" s="1">
        <f t="shared" si="3"/>
        <v>41.459280624977097</v>
      </c>
      <c r="P24" s="1">
        <f t="shared" si="2"/>
        <v>-9.9563906249770966</v>
      </c>
      <c r="Q24" s="1">
        <f t="shared" si="4"/>
        <v>99.129714277131825</v>
      </c>
    </row>
    <row r="25" spans="3:17" x14ac:dyDescent="0.25">
      <c r="C25" s="27"/>
      <c r="D25" s="1">
        <v>19</v>
      </c>
      <c r="E25" s="20">
        <v>45.953760000000003</v>
      </c>
      <c r="F25" s="6">
        <f t="shared" si="5"/>
        <v>70.051603956763017</v>
      </c>
      <c r="G25" s="11">
        <f t="shared" si="9"/>
        <v>7.4661372211530561E-2</v>
      </c>
      <c r="H25" s="6">
        <f t="shared" si="6"/>
        <v>0.65599868388971372</v>
      </c>
      <c r="I25" s="16">
        <f t="shared" si="10"/>
        <v>45.989036457554917</v>
      </c>
      <c r="J25" s="7">
        <f t="shared" si="7"/>
        <v>-3.5276457554914487E-2</v>
      </c>
      <c r="K25" s="7">
        <f t="shared" ref="K25:K54" si="11">ABS(J25)</f>
        <v>3.5276457554914487E-2</v>
      </c>
      <c r="M25" s="14">
        <f t="shared" si="1"/>
        <v>42.921706666666665</v>
      </c>
      <c r="O25" s="1">
        <f t="shared" si="3"/>
        <v>41.459280624977097</v>
      </c>
      <c r="P25" s="1">
        <f t="shared" si="2"/>
        <v>4.4944793750229053</v>
      </c>
      <c r="Q25" s="1">
        <f t="shared" si="4"/>
        <v>20.200344852506284</v>
      </c>
    </row>
    <row r="26" spans="3:17" x14ac:dyDescent="0.25">
      <c r="C26" s="27"/>
      <c r="D26" s="1">
        <v>20</v>
      </c>
      <c r="E26" s="20">
        <v>23.699422999999999</v>
      </c>
      <c r="F26" s="6">
        <f t="shared" si="5"/>
        <v>53.387631354151068</v>
      </c>
      <c r="G26" s="11">
        <f t="shared" si="9"/>
        <v>3.1139267477166777E-2</v>
      </c>
      <c r="H26" s="6">
        <f t="shared" si="6"/>
        <v>0.44391223957451875</v>
      </c>
      <c r="I26" s="16">
        <f t="shared" si="10"/>
        <v>23.719724215219046</v>
      </c>
      <c r="J26" s="7">
        <f t="shared" si="7"/>
        <v>-2.0301215219046043E-2</v>
      </c>
      <c r="K26" s="7">
        <f t="shared" si="11"/>
        <v>2.0301215219046043E-2</v>
      </c>
      <c r="M26" s="14">
        <f t="shared" si="1"/>
        <v>43.658122666666671</v>
      </c>
      <c r="O26" s="1">
        <f t="shared" si="3"/>
        <v>41.459280624977097</v>
      </c>
      <c r="P26" s="1">
        <f t="shared" si="2"/>
        <v>-17.759857624977098</v>
      </c>
      <c r="Q26" s="1">
        <f t="shared" si="4"/>
        <v>315.41254285945718</v>
      </c>
    </row>
    <row r="27" spans="3:17" x14ac:dyDescent="0.25">
      <c r="C27" s="27"/>
      <c r="D27" s="1">
        <v>21</v>
      </c>
      <c r="E27" s="20">
        <v>53.426223999999998</v>
      </c>
      <c r="F27" s="6">
        <f t="shared" si="5"/>
        <v>137.13439424265334</v>
      </c>
      <c r="G27" s="11">
        <f t="shared" si="9"/>
        <v>0.24880817311289422</v>
      </c>
      <c r="H27" s="6">
        <f t="shared" si="6"/>
        <v>0.38959025775448147</v>
      </c>
      <c r="I27" s="16">
        <f t="shared" si="10"/>
        <v>53.494710630975746</v>
      </c>
      <c r="J27" s="7">
        <f t="shared" si="7"/>
        <v>-6.8486630975748142E-2</v>
      </c>
      <c r="K27" s="7">
        <f t="shared" si="11"/>
        <v>6.8486630975748142E-2</v>
      </c>
      <c r="M27" s="14">
        <f t="shared" si="1"/>
        <v>46.411494466666667</v>
      </c>
      <c r="O27" s="1">
        <f t="shared" si="3"/>
        <v>41.459280624977097</v>
      </c>
      <c r="P27" s="1">
        <f t="shared" si="2"/>
        <v>11.9669433750229</v>
      </c>
      <c r="Q27" s="1">
        <f t="shared" si="4"/>
        <v>143.20773374100449</v>
      </c>
    </row>
    <row r="28" spans="3:17" x14ac:dyDescent="0.25">
      <c r="C28" s="27"/>
      <c r="D28" s="1">
        <v>22</v>
      </c>
      <c r="E28" s="20">
        <v>43.767040000000001</v>
      </c>
      <c r="F28" s="6">
        <f t="shared" si="5"/>
        <v>19.815806852515191</v>
      </c>
      <c r="G28" s="11">
        <f t="shared" si="9"/>
        <v>-5.6878689431941853E-2</v>
      </c>
      <c r="H28" s="6">
        <f t="shared" si="6"/>
        <v>2.2086933086171414</v>
      </c>
      <c r="I28" s="16">
        <f t="shared" si="10"/>
        <v>43.868129266144884</v>
      </c>
      <c r="J28" s="7">
        <f t="shared" si="7"/>
        <v>-0.10108926614488212</v>
      </c>
      <c r="K28" s="7">
        <f t="shared" si="11"/>
        <v>0.10108926614488212</v>
      </c>
      <c r="M28" s="14">
        <f t="shared" si="1"/>
        <v>43.849746199999998</v>
      </c>
      <c r="O28" s="1">
        <f t="shared" si="3"/>
        <v>41.459280624977097</v>
      </c>
      <c r="P28" s="1">
        <f t="shared" si="2"/>
        <v>2.3077593750229042</v>
      </c>
      <c r="Q28" s="1">
        <f t="shared" si="4"/>
        <v>5.3257533330061051</v>
      </c>
    </row>
    <row r="29" spans="3:17" x14ac:dyDescent="0.25">
      <c r="C29" s="27"/>
      <c r="D29" s="1">
        <v>23</v>
      </c>
      <c r="E29" s="20">
        <v>66.674019999999999</v>
      </c>
      <c r="F29" s="6">
        <f t="shared" si="5"/>
        <v>184.0097555492608</v>
      </c>
      <c r="G29" s="11">
        <f t="shared" si="9"/>
        <v>0.37018971549042062</v>
      </c>
      <c r="H29" s="6">
        <f t="shared" si="6"/>
        <v>0.36233959336004257</v>
      </c>
      <c r="I29" s="16">
        <f t="shared" si="10"/>
        <v>66.756248317120622</v>
      </c>
      <c r="J29" s="7">
        <f t="shared" si="7"/>
        <v>-8.2228317120623728E-2</v>
      </c>
      <c r="K29" s="7">
        <f t="shared" si="11"/>
        <v>8.2228317120623728E-2</v>
      </c>
      <c r="M29" s="14">
        <f t="shared" si="1"/>
        <v>42.865276866666669</v>
      </c>
      <c r="O29" s="1">
        <f t="shared" si="3"/>
        <v>41.459280624977097</v>
      </c>
      <c r="P29" s="1">
        <f t="shared" si="2"/>
        <v>25.214739375022901</v>
      </c>
      <c r="Q29" s="1">
        <f t="shared" si="4"/>
        <v>635.78308175033033</v>
      </c>
    </row>
    <row r="30" spans="3:17" x14ac:dyDescent="0.25">
      <c r="C30" s="27"/>
      <c r="D30" s="1">
        <v>24</v>
      </c>
      <c r="E30" s="20">
        <v>56.734160000000003</v>
      </c>
      <c r="F30" s="6">
        <f t="shared" si="5"/>
        <v>27.72798603630045</v>
      </c>
      <c r="G30" s="11">
        <f t="shared" si="9"/>
        <v>-3.712088026300725E-2</v>
      </c>
      <c r="H30" s="6">
        <f t="shared" si="6"/>
        <v>2.0460973950912176</v>
      </c>
      <c r="I30" s="16">
        <f t="shared" si="10"/>
        <v>56.938416288571624</v>
      </c>
      <c r="J30" s="7">
        <f t="shared" si="7"/>
        <v>-0.20425628857162081</v>
      </c>
      <c r="K30" s="7">
        <f t="shared" si="11"/>
        <v>0.20425628857162081</v>
      </c>
      <c r="M30" s="14">
        <f t="shared" si="1"/>
        <v>41.087008866666672</v>
      </c>
      <c r="O30" s="1">
        <f t="shared" si="3"/>
        <v>41.459280624977097</v>
      </c>
      <c r="P30" s="1">
        <f t="shared" si="2"/>
        <v>15.274879375022905</v>
      </c>
      <c r="Q30" s="1">
        <f t="shared" si="4"/>
        <v>233.32193992150016</v>
      </c>
    </row>
    <row r="31" spans="3:17" x14ac:dyDescent="0.25">
      <c r="C31" s="27"/>
      <c r="D31" s="1">
        <v>25</v>
      </c>
      <c r="E31" s="20">
        <v>65.398960000000002</v>
      </c>
      <c r="F31" s="6">
        <f t="shared" si="5"/>
        <v>127.55900578951704</v>
      </c>
      <c r="G31" s="11">
        <f t="shared" si="9"/>
        <v>0.22254616800472976</v>
      </c>
      <c r="H31" s="6">
        <f t="shared" si="6"/>
        <v>0.51269574888278546</v>
      </c>
      <c r="I31" s="16">
        <f t="shared" si="10"/>
        <v>65.468409943421349</v>
      </c>
      <c r="J31" s="7">
        <f t="shared" si="7"/>
        <v>-6.9449943421346916E-2</v>
      </c>
      <c r="K31" s="7">
        <f t="shared" si="11"/>
        <v>6.9449943421346916E-2</v>
      </c>
      <c r="M31" s="14">
        <f t="shared" si="1"/>
        <v>38.438064866666664</v>
      </c>
      <c r="O31" s="1">
        <f t="shared" si="3"/>
        <v>41.459280624977097</v>
      </c>
      <c r="P31" s="1">
        <f t="shared" si="2"/>
        <v>23.939679375022905</v>
      </c>
      <c r="Q31" s="1">
        <f t="shared" si="4"/>
        <v>573.10824857889702</v>
      </c>
    </row>
    <row r="32" spans="3:17" x14ac:dyDescent="0.25">
      <c r="C32" s="27"/>
      <c r="D32" s="1">
        <v>26</v>
      </c>
      <c r="E32" s="20">
        <v>14.172013</v>
      </c>
      <c r="F32" s="6">
        <f t="shared" si="5"/>
        <v>18.083802766139215</v>
      </c>
      <c r="G32" s="11">
        <f t="shared" si="9"/>
        <v>-6.2678835219087348E-2</v>
      </c>
      <c r="H32" s="6">
        <f t="shared" si="6"/>
        <v>0.78368544400053974</v>
      </c>
      <c r="I32" s="16">
        <f t="shared" si="10"/>
        <v>14.197915102319643</v>
      </c>
      <c r="J32" s="7">
        <f t="shared" si="7"/>
        <v>-2.590210231964285E-2</v>
      </c>
      <c r="K32" s="7">
        <f t="shared" si="11"/>
        <v>2.590210231964285E-2</v>
      </c>
      <c r="M32" s="14">
        <f t="shared" si="1"/>
        <v>37.744800866666665</v>
      </c>
      <c r="O32" s="1">
        <f t="shared" si="3"/>
        <v>41.459280624977097</v>
      </c>
      <c r="P32" s="1">
        <f t="shared" si="2"/>
        <v>-27.287267624977098</v>
      </c>
      <c r="Q32" s="1">
        <f t="shared" si="4"/>
        <v>744.59497443712326</v>
      </c>
    </row>
    <row r="33" spans="1:17" x14ac:dyDescent="0.25">
      <c r="C33" s="28" t="s">
        <v>22</v>
      </c>
      <c r="D33" s="1">
        <v>27</v>
      </c>
      <c r="E33" s="4">
        <v>12</v>
      </c>
      <c r="F33" s="7">
        <f t="shared" si="5"/>
        <v>30.985851672431938</v>
      </c>
      <c r="G33" s="10">
        <f>$P$3*(F33-F32)+(1-$P$3)*G32</f>
        <v>-2.8969260144605262E-2</v>
      </c>
      <c r="H33" s="7">
        <f t="shared" si="6"/>
        <v>0.3872735249254543</v>
      </c>
      <c r="I33" s="16">
        <f t="shared" si="10"/>
        <v>11.984413036441198</v>
      </c>
      <c r="J33" s="7">
        <f t="shared" si="7"/>
        <v>1.5586963558801514E-2</v>
      </c>
      <c r="K33" s="7">
        <f t="shared" si="11"/>
        <v>1.5586963558801514E-2</v>
      </c>
      <c r="M33" s="14">
        <f t="shared" si="1"/>
        <v>42.533333333333331</v>
      </c>
      <c r="O33" s="1">
        <f t="shared" si="3"/>
        <v>41.459280624977097</v>
      </c>
      <c r="P33" s="1">
        <f t="shared" si="2"/>
        <v>-29.459280624977097</v>
      </c>
      <c r="Q33" s="1">
        <f t="shared" si="4"/>
        <v>867.84921494115099</v>
      </c>
    </row>
    <row r="34" spans="1:17" x14ac:dyDescent="0.25">
      <c r="C34" s="28"/>
      <c r="D34" s="1">
        <v>28</v>
      </c>
      <c r="E34" s="5">
        <v>29</v>
      </c>
      <c r="F34" s="7">
        <f t="shared" si="5"/>
        <v>42.265956109184657</v>
      </c>
      <c r="G34" s="10">
        <f t="shared" si="9"/>
        <v>4.3545057583418978E-4</v>
      </c>
      <c r="H34" s="7">
        <f t="shared" si="6"/>
        <v>0.68613140857585186</v>
      </c>
      <c r="I34" s="16">
        <f t="shared" si="10"/>
        <v>28.993541103846262</v>
      </c>
      <c r="J34" s="7">
        <f t="shared" si="7"/>
        <v>6.4588961537381806E-3</v>
      </c>
      <c r="K34" s="7">
        <f t="shared" si="11"/>
        <v>6.4588961537381806E-3</v>
      </c>
      <c r="M34" s="14">
        <f t="shared" si="1"/>
        <v>43</v>
      </c>
      <c r="O34" s="1">
        <f t="shared" si="3"/>
        <v>41.459280624977097</v>
      </c>
      <c r="P34" s="1">
        <f t="shared" si="2"/>
        <v>-12.459280624977097</v>
      </c>
      <c r="Q34" s="1">
        <f t="shared" si="4"/>
        <v>155.23367369192968</v>
      </c>
    </row>
    <row r="35" spans="1:17" x14ac:dyDescent="0.25">
      <c r="C35" s="28"/>
      <c r="D35" s="1">
        <v>29</v>
      </c>
      <c r="E35" s="5">
        <v>45</v>
      </c>
      <c r="F35" s="7">
        <f t="shared" si="5"/>
        <v>36.610670607749881</v>
      </c>
      <c r="G35" s="10">
        <f t="shared" si="9"/>
        <v>-1.4269983570821569E-2</v>
      </c>
      <c r="H35" s="7">
        <f t="shared" si="6"/>
        <v>1.2291498421903868</v>
      </c>
      <c r="I35" s="16">
        <f t="shared" si="10"/>
        <v>44.988514038885143</v>
      </c>
      <c r="J35" s="7">
        <f t="shared" si="7"/>
        <v>1.1485961114857446E-2</v>
      </c>
      <c r="K35" s="7">
        <f t="shared" si="11"/>
        <v>1.1485961114857446E-2</v>
      </c>
      <c r="M35" s="14">
        <f t="shared" si="1"/>
        <v>43</v>
      </c>
      <c r="O35" s="1">
        <f t="shared" si="3"/>
        <v>41.459280624977097</v>
      </c>
      <c r="P35" s="1">
        <f t="shared" si="2"/>
        <v>3.5407193750229027</v>
      </c>
      <c r="Q35" s="1">
        <f t="shared" si="4"/>
        <v>12.536693692662574</v>
      </c>
    </row>
    <row r="36" spans="1:17" x14ac:dyDescent="0.25">
      <c r="C36" s="28"/>
      <c r="D36" s="1">
        <v>30</v>
      </c>
      <c r="E36" s="5">
        <v>24</v>
      </c>
      <c r="F36" s="7">
        <f t="shared" si="5"/>
        <v>34.645566134336505</v>
      </c>
      <c r="G36" s="10">
        <f t="shared" si="9"/>
        <v>-1.9342346292537168E-2</v>
      </c>
      <c r="H36" s="7">
        <f t="shared" si="6"/>
        <v>0.69272933531930647</v>
      </c>
      <c r="I36" s="16">
        <f t="shared" si="10"/>
        <v>23.987777571626694</v>
      </c>
      <c r="J36" s="7">
        <f t="shared" si="7"/>
        <v>1.2222428373306116E-2</v>
      </c>
      <c r="K36" s="7">
        <f t="shared" si="11"/>
        <v>1.2222428373306116E-2</v>
      </c>
      <c r="M36" s="14">
        <f t="shared" si="1"/>
        <v>42.466666666666669</v>
      </c>
      <c r="O36" s="1">
        <f t="shared" si="3"/>
        <v>41.459280624977097</v>
      </c>
      <c r="P36" s="1">
        <f t="shared" si="2"/>
        <v>-17.459280624977097</v>
      </c>
      <c r="Q36" s="1">
        <f t="shared" si="4"/>
        <v>304.82647994170065</v>
      </c>
    </row>
    <row r="37" spans="1:17" x14ac:dyDescent="0.25">
      <c r="C37" s="28"/>
      <c r="D37" s="1">
        <v>31</v>
      </c>
      <c r="E37" s="5">
        <v>55</v>
      </c>
      <c r="F37" s="7">
        <f t="shared" si="5"/>
        <v>34.134668312661702</v>
      </c>
      <c r="G37" s="10">
        <f t="shared" si="9"/>
        <v>-2.0620439171234132E-2</v>
      </c>
      <c r="H37" s="7">
        <f t="shared" si="6"/>
        <v>1.6112651072574986</v>
      </c>
      <c r="I37" s="16">
        <f t="shared" si="10"/>
        <v>54.967464518292701</v>
      </c>
      <c r="J37" s="7">
        <f t="shared" si="7"/>
        <v>3.2535481707299141E-2</v>
      </c>
      <c r="K37" s="7">
        <f t="shared" si="11"/>
        <v>3.2535481707299141E-2</v>
      </c>
      <c r="M37" s="14">
        <f t="shared" si="1"/>
        <v>43.133333333333333</v>
      </c>
      <c r="O37" s="1">
        <f t="shared" si="3"/>
        <v>41.459280624977097</v>
      </c>
      <c r="P37" s="1">
        <f t="shared" si="2"/>
        <v>13.540719375022903</v>
      </c>
      <c r="Q37" s="1">
        <f t="shared" si="4"/>
        <v>183.35108119312062</v>
      </c>
    </row>
    <row r="38" spans="1:17" x14ac:dyDescent="0.25">
      <c r="C38" s="28"/>
      <c r="D38" s="1">
        <v>32</v>
      </c>
      <c r="E38" s="5">
        <v>45</v>
      </c>
      <c r="F38" s="7">
        <f t="shared" si="5"/>
        <v>19.793920303388518</v>
      </c>
      <c r="G38" s="10">
        <f t="shared" si="9"/>
        <v>-5.7854187925932013E-2</v>
      </c>
      <c r="H38" s="7">
        <f t="shared" si="6"/>
        <v>2.2734253402190601</v>
      </c>
      <c r="I38" s="16">
        <f t="shared" si="10"/>
        <v>44.896766518611557</v>
      </c>
      <c r="J38" s="7">
        <f t="shared" si="7"/>
        <v>0.10323348138844324</v>
      </c>
      <c r="K38" s="7">
        <f t="shared" si="11"/>
        <v>0.10323348138844324</v>
      </c>
      <c r="M38" s="14">
        <f t="shared" si="1"/>
        <v>42.333333333333336</v>
      </c>
      <c r="O38" s="1">
        <f t="shared" si="3"/>
        <v>41.459280624977097</v>
      </c>
      <c r="P38" s="1">
        <f t="shared" si="2"/>
        <v>3.5407193750229027</v>
      </c>
      <c r="Q38" s="1">
        <f t="shared" si="4"/>
        <v>12.536693692662574</v>
      </c>
    </row>
    <row r="39" spans="1:17" x14ac:dyDescent="0.25">
      <c r="C39" s="28"/>
      <c r="D39" s="1">
        <v>33</v>
      </c>
      <c r="E39" s="5">
        <v>64</v>
      </c>
      <c r="F39" s="7">
        <f t="shared" si="5"/>
        <v>93.550738099456822</v>
      </c>
      <c r="G39" s="10">
        <f t="shared" si="9"/>
        <v>0.13407126368810773</v>
      </c>
      <c r="H39" s="7">
        <f t="shared" si="6"/>
        <v>0.68412073811710095</v>
      </c>
      <c r="I39" s="16">
        <f t="shared" si="10"/>
        <v>64.047700068488453</v>
      </c>
      <c r="J39" s="7">
        <f t="shared" si="7"/>
        <v>-4.7700068488452985E-2</v>
      </c>
      <c r="K39" s="7">
        <f t="shared" si="11"/>
        <v>4.7700068488452985E-2</v>
      </c>
      <c r="M39" s="14">
        <f t="shared" ref="M39:M68" si="12">AVERAGE(E39:E53)</f>
        <v>41.866666666666667</v>
      </c>
      <c r="O39" s="1">
        <f t="shared" si="3"/>
        <v>41.459280624977097</v>
      </c>
      <c r="P39" s="1">
        <f t="shared" si="2"/>
        <v>22.540719375022903</v>
      </c>
      <c r="Q39" s="1">
        <f t="shared" si="4"/>
        <v>508.08402994353287</v>
      </c>
    </row>
    <row r="40" spans="1:17" x14ac:dyDescent="0.25">
      <c r="C40" s="28"/>
      <c r="D40" s="1">
        <v>34</v>
      </c>
      <c r="E40" s="5">
        <v>57</v>
      </c>
      <c r="F40" s="7">
        <f t="shared" si="5"/>
        <v>86.89633155536076</v>
      </c>
      <c r="G40" s="10">
        <f t="shared" si="9"/>
        <v>0.11642054962257105</v>
      </c>
      <c r="H40" s="7">
        <f t="shared" si="6"/>
        <v>0.65595404293547055</v>
      </c>
      <c r="I40" s="16">
        <f t="shared" si="10"/>
        <v>57.080250862490985</v>
      </c>
      <c r="J40" s="9">
        <f t="shared" si="7"/>
        <v>-8.0250862490984787E-2</v>
      </c>
      <c r="K40" s="9">
        <f t="shared" si="11"/>
        <v>8.0250862490984787E-2</v>
      </c>
      <c r="M40" s="14">
        <f t="shared" si="12"/>
        <v>42</v>
      </c>
      <c r="O40" s="1">
        <f t="shared" ref="O40:O70" si="13">$V$2*D40+$V$3</f>
        <v>41.459280624977097</v>
      </c>
      <c r="P40" s="1">
        <f t="shared" ref="P40:P70" si="14">E40-O40</f>
        <v>15.540719375022903</v>
      </c>
      <c r="Q40" s="1">
        <f t="shared" ref="Q40:Q70" si="15">P40*P40</f>
        <v>241.51395869321223</v>
      </c>
    </row>
    <row r="41" spans="1:17" x14ac:dyDescent="0.25">
      <c r="C41" s="28"/>
      <c r="D41" s="1">
        <v>35</v>
      </c>
      <c r="E41" s="5">
        <v>65</v>
      </c>
      <c r="F41" s="7">
        <f t="shared" si="5"/>
        <v>146.37363037386402</v>
      </c>
      <c r="G41" s="10">
        <f t="shared" si="9"/>
        <v>0.27076470727772339</v>
      </c>
      <c r="H41" s="7">
        <f t="shared" si="6"/>
        <v>0.44406905693312765</v>
      </c>
      <c r="I41" s="16">
        <f t="shared" si="10"/>
        <v>65.097241841520173</v>
      </c>
      <c r="J41" s="9">
        <f t="shared" si="7"/>
        <v>-9.7241841520173011E-2</v>
      </c>
      <c r="K41" s="9">
        <f t="shared" si="11"/>
        <v>9.7241841520173011E-2</v>
      </c>
      <c r="M41" s="14">
        <f t="shared" si="12"/>
        <v>40.333333333333336</v>
      </c>
      <c r="O41" s="1">
        <f t="shared" si="13"/>
        <v>41.459280624977097</v>
      </c>
      <c r="P41" s="1">
        <f t="shared" si="14"/>
        <v>23.540719375022903</v>
      </c>
      <c r="Q41" s="1">
        <f t="shared" si="15"/>
        <v>554.16546869357865</v>
      </c>
    </row>
    <row r="42" spans="1:17" x14ac:dyDescent="0.25">
      <c r="C42" s="28"/>
      <c r="D42" s="1">
        <v>36</v>
      </c>
      <c r="E42" s="5">
        <v>15</v>
      </c>
      <c r="F42" s="7">
        <f t="shared" si="5"/>
        <v>38.596108492012355</v>
      </c>
      <c r="G42" s="10">
        <f t="shared" si="9"/>
        <v>-1.0171529954875136E-2</v>
      </c>
      <c r="H42" s="7">
        <f t="shared" si="6"/>
        <v>0.3886402175261871</v>
      </c>
      <c r="I42" s="16">
        <f t="shared" si="10"/>
        <v>15.032705126746148</v>
      </c>
      <c r="J42" s="9">
        <f t="shared" si="7"/>
        <v>-3.2705126746147783E-2</v>
      </c>
      <c r="K42" s="9">
        <f t="shared" si="11"/>
        <v>3.2705126746147783E-2</v>
      </c>
      <c r="M42" s="14">
        <f t="shared" si="12"/>
        <v>39.93333333333333</v>
      </c>
      <c r="O42" s="1">
        <f t="shared" si="13"/>
        <v>41.459280624977097</v>
      </c>
      <c r="P42" s="1">
        <f t="shared" si="14"/>
        <v>-26.459280624977097</v>
      </c>
      <c r="Q42" s="1">
        <f t="shared" si="15"/>
        <v>700.09353119128843</v>
      </c>
    </row>
    <row r="43" spans="1:17" x14ac:dyDescent="0.25">
      <c r="C43" s="28"/>
      <c r="D43" s="1">
        <v>37</v>
      </c>
      <c r="E43" s="5">
        <v>29</v>
      </c>
      <c r="F43" s="7">
        <f t="shared" si="5"/>
        <v>13.152090183197098</v>
      </c>
      <c r="G43" s="10">
        <f t="shared" si="9"/>
        <v>-7.6302048429217728E-2</v>
      </c>
      <c r="H43" s="7">
        <f t="shared" si="6"/>
        <v>2.2049727150631875</v>
      </c>
      <c r="I43" s="16">
        <f t="shared" si="10"/>
        <v>28.880405758157227</v>
      </c>
      <c r="J43" s="9">
        <f t="shared" si="7"/>
        <v>0.11959424184277267</v>
      </c>
      <c r="K43" s="9">
        <f t="shared" si="11"/>
        <v>0.11959424184277267</v>
      </c>
      <c r="M43" s="14">
        <f t="shared" si="12"/>
        <v>40.666666666666664</v>
      </c>
      <c r="O43" s="1">
        <f t="shared" si="13"/>
        <v>41.459280624977097</v>
      </c>
      <c r="P43" s="1">
        <f t="shared" si="14"/>
        <v>-12.459280624977097</v>
      </c>
      <c r="Q43" s="1">
        <f t="shared" si="15"/>
        <v>155.23367369192968</v>
      </c>
    </row>
    <row r="44" spans="1:17" x14ac:dyDescent="0.25">
      <c r="A44" s="1">
        <f>AVERAGE(E7:E21)</f>
        <v>42.553882933333327</v>
      </c>
      <c r="C44" s="28"/>
      <c r="D44" s="1">
        <v>38</v>
      </c>
      <c r="E44" s="5">
        <v>40</v>
      </c>
      <c r="F44" s="7">
        <f t="shared" si="5"/>
        <v>110.30897872701063</v>
      </c>
      <c r="G44" s="10">
        <f t="shared" si="9"/>
        <v>0.17651386898536756</v>
      </c>
      <c r="H44" s="7">
        <f t="shared" si="6"/>
        <v>0.36261780737713845</v>
      </c>
      <c r="I44" s="16">
        <f t="shared" si="10"/>
        <v>40.033268459417179</v>
      </c>
      <c r="J44" s="9">
        <f t="shared" si="7"/>
        <v>-3.3268459417179486E-2</v>
      </c>
      <c r="K44" s="9">
        <f t="shared" si="11"/>
        <v>3.3268459417179486E-2</v>
      </c>
      <c r="M44" s="14">
        <f t="shared" si="12"/>
        <v>41.466666666666669</v>
      </c>
      <c r="O44" s="1">
        <f t="shared" si="13"/>
        <v>41.459280624977097</v>
      </c>
      <c r="P44" s="1">
        <f t="shared" si="14"/>
        <v>-1.4592806249770973</v>
      </c>
      <c r="Q44" s="1">
        <f t="shared" si="15"/>
        <v>2.1294999424335477</v>
      </c>
    </row>
    <row r="45" spans="1:17" x14ac:dyDescent="0.25">
      <c r="C45" s="28"/>
      <c r="D45" s="1">
        <v>39</v>
      </c>
      <c r="E45" s="5">
        <v>17</v>
      </c>
      <c r="F45" s="7">
        <f t="shared" si="5"/>
        <v>8.3974270778046236</v>
      </c>
      <c r="G45" s="10">
        <f t="shared" si="9"/>
        <v>-8.8925203659039914E-2</v>
      </c>
      <c r="H45" s="7">
        <f t="shared" si="6"/>
        <v>2.0244296071272805</v>
      </c>
      <c r="I45" s="16">
        <f t="shared" si="10"/>
        <v>17.00000404179978</v>
      </c>
      <c r="J45" s="9">
        <f t="shared" si="7"/>
        <v>-4.0417997801966976E-6</v>
      </c>
      <c r="K45" s="9">
        <f t="shared" si="11"/>
        <v>4.0417997801966976E-6</v>
      </c>
      <c r="M45" s="14">
        <f t="shared" si="12"/>
        <v>39.6</v>
      </c>
      <c r="O45" s="1">
        <f t="shared" si="13"/>
        <v>41.459280624977097</v>
      </c>
      <c r="P45" s="1">
        <f t="shared" si="14"/>
        <v>-24.459280624977097</v>
      </c>
      <c r="Q45" s="1">
        <f t="shared" si="15"/>
        <v>598.25640869137999</v>
      </c>
    </row>
    <row r="46" spans="1:17" x14ac:dyDescent="0.25">
      <c r="C46" s="28"/>
      <c r="D46" s="1">
        <v>40</v>
      </c>
      <c r="E46" s="5">
        <v>55</v>
      </c>
      <c r="F46" s="7">
        <f t="shared" si="5"/>
        <v>107.18996520532875</v>
      </c>
      <c r="G46" s="10">
        <f t="shared" si="9"/>
        <v>0.16817638598440582</v>
      </c>
      <c r="H46" s="7">
        <f t="shared" si="6"/>
        <v>0.51310773256287778</v>
      </c>
      <c r="I46" s="16">
        <f t="shared" si="10"/>
        <v>55.042062801822418</v>
      </c>
      <c r="J46" s="9">
        <f t="shared" si="7"/>
        <v>-4.2062801822417839E-2</v>
      </c>
      <c r="K46" s="9">
        <f t="shared" si="11"/>
        <v>4.2062801822417839E-2</v>
      </c>
      <c r="M46" s="14">
        <f t="shared" si="12"/>
        <v>40.6</v>
      </c>
      <c r="O46" s="1">
        <f t="shared" si="13"/>
        <v>41.459280624977097</v>
      </c>
      <c r="P46" s="1">
        <f t="shared" si="14"/>
        <v>13.540719375022903</v>
      </c>
      <c r="Q46" s="1">
        <f t="shared" si="15"/>
        <v>183.35108119312062</v>
      </c>
    </row>
    <row r="47" spans="1:17" x14ac:dyDescent="0.25">
      <c r="C47" s="28"/>
      <c r="D47" s="1">
        <v>41</v>
      </c>
      <c r="E47" s="5">
        <v>86</v>
      </c>
      <c r="F47" s="7">
        <f t="shared" si="5"/>
        <v>109.73583535798042</v>
      </c>
      <c r="G47" s="10">
        <f t="shared" si="9"/>
        <v>0.17435862506644706</v>
      </c>
      <c r="H47" s="7">
        <f t="shared" si="6"/>
        <v>0.78370023538300559</v>
      </c>
      <c r="I47" s="16">
        <f t="shared" si="10"/>
        <v>86.135019171789537</v>
      </c>
      <c r="J47" s="9">
        <f t="shared" si="7"/>
        <v>-0.13501917178953704</v>
      </c>
      <c r="K47" s="9">
        <f t="shared" si="11"/>
        <v>0.13501917178953704</v>
      </c>
      <c r="M47" s="14">
        <f t="shared" si="12"/>
        <v>40</v>
      </c>
      <c r="O47" s="1">
        <f t="shared" si="13"/>
        <v>41.459280624977097</v>
      </c>
      <c r="P47" s="1">
        <f t="shared" si="14"/>
        <v>44.540719375022903</v>
      </c>
      <c r="Q47" s="1">
        <f t="shared" si="15"/>
        <v>1983.8756824445406</v>
      </c>
    </row>
    <row r="48" spans="1:17" x14ac:dyDescent="0.25">
      <c r="C48" s="28"/>
      <c r="D48" s="1">
        <v>42</v>
      </c>
      <c r="E48" s="5">
        <v>19</v>
      </c>
      <c r="F48" s="7">
        <f t="shared" si="5"/>
        <v>49.113890441550886</v>
      </c>
      <c r="G48" s="10">
        <f t="shared" si="9"/>
        <v>1.6282219657560409E-2</v>
      </c>
      <c r="H48" s="7">
        <f t="shared" si="6"/>
        <v>0.38685593483194713</v>
      </c>
      <c r="I48" s="16">
        <f t="shared" si="10"/>
        <v>19.026815146702383</v>
      </c>
      <c r="J48" s="9">
        <f t="shared" si="7"/>
        <v>-2.6815146702382719E-2</v>
      </c>
      <c r="K48" s="9">
        <f t="shared" si="11"/>
        <v>2.6815146702382719E-2</v>
      </c>
      <c r="M48" s="14">
        <f t="shared" si="12"/>
        <v>35.799999999999997</v>
      </c>
      <c r="O48" s="1">
        <f t="shared" si="13"/>
        <v>41.459280624977097</v>
      </c>
      <c r="P48" s="1">
        <f t="shared" si="14"/>
        <v>-22.459280624977097</v>
      </c>
      <c r="Q48" s="1">
        <f t="shared" si="15"/>
        <v>504.41928619147166</v>
      </c>
    </row>
    <row r="49" spans="3:25" x14ac:dyDescent="0.25">
      <c r="C49" s="28"/>
      <c r="D49" s="1">
        <v>43</v>
      </c>
      <c r="E49" s="5">
        <v>29</v>
      </c>
      <c r="F49" s="7">
        <f t="shared" si="5"/>
        <v>42.271930207639734</v>
      </c>
      <c r="G49" s="10">
        <f t="shared" si="9"/>
        <v>-1.5498893906945449E-3</v>
      </c>
      <c r="H49" s="7">
        <f t="shared" si="6"/>
        <v>0.68603444076369335</v>
      </c>
      <c r="I49" s="16">
        <f t="shared" si="10"/>
        <v>29.003035588797179</v>
      </c>
      <c r="J49" s="9">
        <f t="shared" si="7"/>
        <v>-3.0355887971786899E-3</v>
      </c>
      <c r="K49" s="9">
        <f t="shared" si="11"/>
        <v>3.0355887971786899E-3</v>
      </c>
      <c r="M49" s="14">
        <f t="shared" si="12"/>
        <v>38.4</v>
      </c>
      <c r="O49" s="1">
        <f t="shared" si="13"/>
        <v>41.459280624977097</v>
      </c>
      <c r="P49" s="1">
        <f t="shared" si="14"/>
        <v>-12.459280624977097</v>
      </c>
      <c r="Q49" s="1">
        <f t="shared" si="15"/>
        <v>155.23367369192968</v>
      </c>
    </row>
    <row r="50" spans="3:25" x14ac:dyDescent="0.25">
      <c r="C50" s="28"/>
      <c r="D50" s="1">
        <v>44</v>
      </c>
      <c r="E50" s="5">
        <v>37</v>
      </c>
      <c r="F50" s="7">
        <f t="shared" si="5"/>
        <v>30.112697295228461</v>
      </c>
      <c r="G50" s="10">
        <f t="shared" si="9"/>
        <v>-3.3161068334624955E-2</v>
      </c>
      <c r="H50" s="7">
        <f t="shared" si="6"/>
        <v>1.2287175618061579</v>
      </c>
      <c r="I50" s="16">
        <f t="shared" si="10"/>
        <v>36.972257206446585</v>
      </c>
      <c r="J50" s="9">
        <f t="shared" si="7"/>
        <v>2.7742793553414913E-2</v>
      </c>
      <c r="K50" s="9">
        <f t="shared" si="11"/>
        <v>2.7742793553414913E-2</v>
      </c>
      <c r="M50" s="14">
        <f t="shared" si="12"/>
        <v>39.533333333333331</v>
      </c>
      <c r="O50" s="1">
        <f t="shared" si="13"/>
        <v>41.459280624977097</v>
      </c>
      <c r="P50" s="1">
        <f t="shared" si="14"/>
        <v>-4.4592806249770973</v>
      </c>
      <c r="Q50" s="1">
        <f t="shared" si="15"/>
        <v>19.885183692296131</v>
      </c>
    </row>
    <row r="51" spans="3:25" x14ac:dyDescent="0.25">
      <c r="C51" s="28"/>
      <c r="D51" s="1">
        <v>45</v>
      </c>
      <c r="E51" s="5">
        <v>34</v>
      </c>
      <c r="F51" s="7">
        <f t="shared" si="5"/>
        <v>49.064681053277724</v>
      </c>
      <c r="G51" s="10">
        <f t="shared" si="9"/>
        <v>1.6202186921075085E-2</v>
      </c>
      <c r="H51" s="7">
        <f t="shared" si="6"/>
        <v>0.69296282519559271</v>
      </c>
      <c r="I51" s="16">
        <f t="shared" si="10"/>
        <v>33.999767623867406</v>
      </c>
      <c r="J51" s="9">
        <f t="shared" si="7"/>
        <v>2.3237613259396994E-4</v>
      </c>
      <c r="K51" s="9">
        <f t="shared" si="11"/>
        <v>2.3237613259396994E-4</v>
      </c>
      <c r="M51" s="14">
        <f t="shared" si="12"/>
        <v>41.533333333333331</v>
      </c>
      <c r="O51" s="1">
        <f t="shared" si="13"/>
        <v>41.459280624977097</v>
      </c>
      <c r="P51" s="1">
        <f t="shared" si="14"/>
        <v>-7.4592806249770973</v>
      </c>
      <c r="Q51" s="1">
        <f t="shared" si="15"/>
        <v>55.640867442158715</v>
      </c>
    </row>
    <row r="52" spans="3:25" x14ac:dyDescent="0.25">
      <c r="C52" s="28"/>
      <c r="D52" s="1">
        <v>46</v>
      </c>
      <c r="E52" s="5">
        <v>43</v>
      </c>
      <c r="F52" s="7">
        <f t="shared" si="5"/>
        <v>26.706594180152383</v>
      </c>
      <c r="G52" s="10">
        <f>$P$3*(F52-F51)+(1-$P$3)*G51</f>
        <v>-4.1973178720644738E-2</v>
      </c>
      <c r="H52" s="7">
        <f t="shared" si="6"/>
        <v>1.6100892427517559</v>
      </c>
      <c r="I52" s="16">
        <f t="shared" si="10"/>
        <v>42.963773417852458</v>
      </c>
      <c r="J52" s="9">
        <f t="shared" si="7"/>
        <v>3.6226582147541819E-2</v>
      </c>
      <c r="K52" s="9">
        <f t="shared" si="11"/>
        <v>3.6226582147541819E-2</v>
      </c>
      <c r="M52" s="14">
        <f t="shared" si="12"/>
        <v>43.133333333333333</v>
      </c>
      <c r="O52" s="1">
        <f t="shared" si="13"/>
        <v>41.459280624977097</v>
      </c>
      <c r="P52" s="1">
        <f t="shared" si="14"/>
        <v>1.5407193750229027</v>
      </c>
      <c r="Q52" s="1">
        <f t="shared" si="15"/>
        <v>2.3738161925709638</v>
      </c>
    </row>
    <row r="53" spans="3:25" x14ac:dyDescent="0.25">
      <c r="C53" s="28"/>
      <c r="D53" s="1">
        <v>47</v>
      </c>
      <c r="E53" s="5">
        <v>38</v>
      </c>
      <c r="F53" s="7">
        <f t="shared" si="5"/>
        <v>16.723525553282418</v>
      </c>
      <c r="G53" s="10">
        <f t="shared" si="9"/>
        <v>-6.7821010623739117E-2</v>
      </c>
      <c r="H53" s="7">
        <f t="shared" si="6"/>
        <v>2.2722481500045624</v>
      </c>
      <c r="I53" s="16">
        <f t="shared" si="10"/>
        <v>37.865500766481951</v>
      </c>
      <c r="J53" s="9">
        <f t="shared" si="7"/>
        <v>0.13449923351804927</v>
      </c>
      <c r="K53" s="9">
        <f t="shared" si="11"/>
        <v>0.13449923351804927</v>
      </c>
      <c r="M53" s="14">
        <f t="shared" si="12"/>
        <v>44.8</v>
      </c>
      <c r="O53" s="1">
        <f t="shared" si="13"/>
        <v>41.459280624977097</v>
      </c>
      <c r="P53" s="1">
        <f t="shared" si="14"/>
        <v>-3.4592806249770973</v>
      </c>
      <c r="Q53" s="1">
        <f t="shared" si="15"/>
        <v>11.966622442341937</v>
      </c>
    </row>
    <row r="54" spans="3:25" x14ac:dyDescent="0.25">
      <c r="C54" s="28"/>
      <c r="D54" s="1">
        <v>48</v>
      </c>
      <c r="E54" s="5">
        <v>66</v>
      </c>
      <c r="F54" s="7">
        <f t="shared" ref="F54:F85" si="16">$P$2*(E54/H39)+(1-$P$2)*(F53+G53)</f>
        <v>96.404730643651263</v>
      </c>
      <c r="G54" s="10">
        <f t="shared" si="9"/>
        <v>0.13953434893854039</v>
      </c>
      <c r="H54" s="7">
        <f t="shared" ref="H54:H85" si="17">$P$4*(E54/F54)+(1-$P$4)*H39</f>
        <v>0.68461370681031442</v>
      </c>
      <c r="I54" s="16">
        <f t="shared" si="10"/>
        <v>66.047933827703531</v>
      </c>
      <c r="J54" s="9">
        <f t="shared" ref="J54:J85" si="18">E54-I54</f>
        <v>-4.7933827703531051E-2</v>
      </c>
      <c r="K54" s="9">
        <f t="shared" si="11"/>
        <v>4.7933827703531051E-2</v>
      </c>
      <c r="M54" s="14">
        <f t="shared" si="12"/>
        <v>43.266666666666666</v>
      </c>
      <c r="O54" s="1">
        <f t="shared" si="13"/>
        <v>41.459280624977097</v>
      </c>
      <c r="P54" s="1">
        <f t="shared" si="14"/>
        <v>24.540719375022903</v>
      </c>
      <c r="Q54" s="1">
        <f t="shared" si="15"/>
        <v>602.24690744362454</v>
      </c>
    </row>
    <row r="55" spans="3:25" x14ac:dyDescent="0.25">
      <c r="C55" s="28"/>
      <c r="D55" s="1">
        <v>49</v>
      </c>
      <c r="E55" s="5">
        <v>32</v>
      </c>
      <c r="F55" s="7">
        <f t="shared" si="16"/>
        <v>48.825472463846246</v>
      </c>
      <c r="G55" s="10">
        <f t="shared" ref="G55:G75" si="19">$P$3*(F55-F54)+(1-$P$3)*G54</f>
        <v>1.5460766270020715E-2</v>
      </c>
      <c r="H55" s="7">
        <f t="shared" si="17"/>
        <v>0.65539560367173122</v>
      </c>
      <c r="I55" s="16">
        <f t="shared" si="10"/>
        <v>32.037407613036137</v>
      </c>
      <c r="J55" s="9">
        <f t="shared" si="18"/>
        <v>-3.7407613036137377E-2</v>
      </c>
      <c r="K55" s="9">
        <f t="shared" ref="K55:K75" si="20">ABS(J55)</f>
        <v>3.7407613036137377E-2</v>
      </c>
      <c r="M55" s="14">
        <f t="shared" si="12"/>
        <v>41</v>
      </c>
      <c r="O55" s="1">
        <f t="shared" si="13"/>
        <v>41.459280624977097</v>
      </c>
      <c r="P55" s="1">
        <f t="shared" si="14"/>
        <v>-9.4592806249770973</v>
      </c>
      <c r="Q55" s="1">
        <f t="shared" si="15"/>
        <v>89.477989942067111</v>
      </c>
    </row>
    <row r="56" spans="3:25" x14ac:dyDescent="0.25">
      <c r="C56" s="28"/>
      <c r="D56" s="1">
        <v>50</v>
      </c>
      <c r="E56" s="5">
        <v>59</v>
      </c>
      <c r="F56" s="7">
        <f t="shared" si="16"/>
        <v>132.78909252437364</v>
      </c>
      <c r="G56" s="10">
        <f t="shared" si="19"/>
        <v>0.23373428766711274</v>
      </c>
      <c r="H56" s="7">
        <f t="shared" si="17"/>
        <v>0.44431360195620329</v>
      </c>
      <c r="I56" s="16">
        <f t="shared" si="10"/>
        <v>59.071321253001706</v>
      </c>
      <c r="J56" s="9">
        <f t="shared" si="18"/>
        <v>-7.1321253001705998E-2</v>
      </c>
      <c r="K56" s="9">
        <f t="shared" si="20"/>
        <v>7.1321253001705998E-2</v>
      </c>
      <c r="M56" s="14">
        <f t="shared" si="12"/>
        <v>41.6</v>
      </c>
      <c r="O56" s="1">
        <f t="shared" si="13"/>
        <v>41.459280624977097</v>
      </c>
      <c r="P56" s="1">
        <f t="shared" si="14"/>
        <v>17.540719375022903</v>
      </c>
      <c r="Q56" s="1">
        <f t="shared" si="15"/>
        <v>307.67683619330387</v>
      </c>
    </row>
    <row r="57" spans="3:25" x14ac:dyDescent="0.25">
      <c r="C57" s="28"/>
      <c r="D57" s="1">
        <v>51</v>
      </c>
      <c r="E57" s="5">
        <v>26</v>
      </c>
      <c r="F57" s="7">
        <f t="shared" si="16"/>
        <v>66.957469795963249</v>
      </c>
      <c r="G57" s="10">
        <f t="shared" si="19"/>
        <v>6.1957821816219866E-2</v>
      </c>
      <c r="H57" s="7">
        <f t="shared" si="17"/>
        <v>0.38830619017159301</v>
      </c>
      <c r="I57" s="16">
        <f t="shared" si="10"/>
        <v>26.046444927854363</v>
      </c>
      <c r="J57" s="9">
        <f t="shared" si="18"/>
        <v>-4.6444927854363272E-2</v>
      </c>
      <c r="K57" s="9">
        <f t="shared" si="20"/>
        <v>4.6444927854363272E-2</v>
      </c>
      <c r="M57" s="14">
        <f t="shared" si="12"/>
        <v>38.866666666666667</v>
      </c>
      <c r="O57" s="1">
        <f t="shared" si="13"/>
        <v>41.459280624977097</v>
      </c>
      <c r="P57" s="1">
        <f t="shared" si="14"/>
        <v>-15.459280624977097</v>
      </c>
      <c r="Q57" s="1">
        <f t="shared" si="15"/>
        <v>238.98935744179227</v>
      </c>
    </row>
    <row r="58" spans="3:25" x14ac:dyDescent="0.25">
      <c r="C58" s="28"/>
      <c r="D58" s="1">
        <v>52</v>
      </c>
      <c r="E58" s="12">
        <v>41</v>
      </c>
      <c r="F58" s="7">
        <f t="shared" si="16"/>
        <v>18.636479960437715</v>
      </c>
      <c r="G58" s="10">
        <f t="shared" si="19"/>
        <v>-6.3842629909248688E-2</v>
      </c>
      <c r="H58" s="7">
        <f t="shared" si="17"/>
        <v>2.1999862681706248</v>
      </c>
      <c r="I58" s="16">
        <f t="shared" si="10"/>
        <v>40.952158560579264</v>
      </c>
      <c r="J58" s="9">
        <f t="shared" si="18"/>
        <v>4.7841439420736265E-2</v>
      </c>
      <c r="K58" s="9">
        <f t="shared" si="20"/>
        <v>4.7841439420736265E-2</v>
      </c>
      <c r="M58" s="14">
        <f t="shared" si="12"/>
        <v>41.333333333333336</v>
      </c>
      <c r="O58" s="1">
        <f t="shared" si="13"/>
        <v>41.459280624977097</v>
      </c>
      <c r="P58" s="1">
        <f t="shared" si="14"/>
        <v>-0.45928062497709732</v>
      </c>
      <c r="Q58" s="1">
        <f t="shared" si="15"/>
        <v>0.2109386924793531</v>
      </c>
    </row>
    <row r="59" spans="3:25" x14ac:dyDescent="0.25">
      <c r="C59" s="29" t="s">
        <v>23</v>
      </c>
      <c r="D59" s="1">
        <v>53</v>
      </c>
      <c r="E59" s="12">
        <v>12</v>
      </c>
      <c r="F59" s="7">
        <f t="shared" si="16"/>
        <v>33.08005645183988</v>
      </c>
      <c r="G59" s="10">
        <f t="shared" si="19"/>
        <v>-2.6121904587654121E-2</v>
      </c>
      <c r="H59" s="7">
        <f t="shared" si="17"/>
        <v>0.36275633378892169</v>
      </c>
      <c r="I59" s="16">
        <f t="shared" si="10"/>
        <v>11.985945270712049</v>
      </c>
      <c r="J59" s="9">
        <f t="shared" si="18"/>
        <v>1.4054729287950707E-2</v>
      </c>
      <c r="K59" s="9">
        <f t="shared" si="20"/>
        <v>1.4054729287950707E-2</v>
      </c>
      <c r="M59" s="14">
        <f t="shared" si="12"/>
        <v>44.466666666666669</v>
      </c>
      <c r="O59" s="1">
        <f t="shared" si="13"/>
        <v>41.459280624977097</v>
      </c>
      <c r="P59" s="1">
        <f t="shared" si="14"/>
        <v>-29.459280624977097</v>
      </c>
      <c r="Q59" s="1">
        <f t="shared" si="15"/>
        <v>867.84921494115099</v>
      </c>
    </row>
    <row r="60" spans="3:25" x14ac:dyDescent="0.25">
      <c r="C60" s="29"/>
      <c r="D60" s="1">
        <v>54</v>
      </c>
      <c r="E60" s="12">
        <v>32</v>
      </c>
      <c r="F60" s="7">
        <f t="shared" si="16"/>
        <v>15.821932062750971</v>
      </c>
      <c r="G60" s="10">
        <f t="shared" si="19"/>
        <v>-7.0926816269295062E-2</v>
      </c>
      <c r="H60" s="7">
        <f t="shared" si="17"/>
        <v>2.0225090003601074</v>
      </c>
      <c r="I60" s="16">
        <f t="shared" si="10"/>
        <v>31.886801362994632</v>
      </c>
      <c r="J60" s="9">
        <f t="shared" si="18"/>
        <v>0.11319863700536814</v>
      </c>
      <c r="K60" s="9">
        <f t="shared" si="20"/>
        <v>0.11319863700536814</v>
      </c>
      <c r="M60" s="14">
        <f t="shared" si="12"/>
        <v>45.06666666666667</v>
      </c>
      <c r="O60" s="1">
        <f t="shared" si="13"/>
        <v>41.459280624977097</v>
      </c>
      <c r="P60" s="1">
        <f t="shared" si="14"/>
        <v>-9.4592806249770973</v>
      </c>
      <c r="Q60" s="1">
        <f t="shared" si="15"/>
        <v>89.477989942067111</v>
      </c>
    </row>
    <row r="61" spans="3:25" x14ac:dyDescent="0.25">
      <c r="C61" s="29"/>
      <c r="D61" s="1">
        <v>55</v>
      </c>
      <c r="E61" s="12">
        <v>46</v>
      </c>
      <c r="F61" s="7">
        <f t="shared" si="16"/>
        <v>89.585473130559961</v>
      </c>
      <c r="G61" s="10">
        <f t="shared" si="19"/>
        <v>0.12105010664389994</v>
      </c>
      <c r="H61" s="7">
        <f t="shared" si="17"/>
        <v>0.51347610714697656</v>
      </c>
      <c r="I61" s="16">
        <f t="shared" si="10"/>
        <v>46.029110734340783</v>
      </c>
      <c r="J61" s="9">
        <f t="shared" si="18"/>
        <v>-2.911073434078304E-2</v>
      </c>
      <c r="K61" s="9">
        <f t="shared" si="20"/>
        <v>2.911073434078304E-2</v>
      </c>
      <c r="M61" s="14">
        <f t="shared" si="12"/>
        <v>45.133333333333333</v>
      </c>
      <c r="O61" s="1">
        <f t="shared" si="13"/>
        <v>41.459280624977097</v>
      </c>
      <c r="P61" s="1">
        <f t="shared" si="14"/>
        <v>4.5407193750229027</v>
      </c>
      <c r="Q61" s="1">
        <f t="shared" si="15"/>
        <v>20.618132442708379</v>
      </c>
      <c r="W61" s="1" t="s">
        <v>12</v>
      </c>
      <c r="Y61" s="1" t="s">
        <v>14</v>
      </c>
    </row>
    <row r="62" spans="3:25" x14ac:dyDescent="0.25">
      <c r="C62" s="29"/>
      <c r="D62" s="1">
        <v>56</v>
      </c>
      <c r="E62" s="12">
        <v>23</v>
      </c>
      <c r="F62" s="7">
        <f t="shared" si="16"/>
        <v>29.400487530719285</v>
      </c>
      <c r="G62" s="10">
        <f t="shared" si="19"/>
        <v>-3.5751553878674597E-2</v>
      </c>
      <c r="H62" s="7">
        <f t="shared" si="17"/>
        <v>0.78229995254222584</v>
      </c>
      <c r="I62" s="16">
        <f t="shared" si="10"/>
        <v>23.0131504970098</v>
      </c>
      <c r="J62" s="9">
        <f t="shared" si="18"/>
        <v>-1.3150497009799977E-2</v>
      </c>
      <c r="K62" s="9">
        <f t="shared" si="20"/>
        <v>1.3150497009799977E-2</v>
      </c>
      <c r="M62" s="14">
        <f t="shared" si="12"/>
        <v>44.733333333333334</v>
      </c>
      <c r="O62" s="1">
        <f t="shared" si="13"/>
        <v>41.459280624977097</v>
      </c>
      <c r="P62" s="1">
        <f t="shared" si="14"/>
        <v>-18.459280624977097</v>
      </c>
      <c r="Q62" s="1">
        <f t="shared" si="15"/>
        <v>340.74504119165488</v>
      </c>
      <c r="W62" s="1">
        <f>AVERAGE(E85:E110)</f>
        <v>39.814308192307699</v>
      </c>
      <c r="Y62" s="1">
        <f>AVERAGE(E59:E84)</f>
        <v>42.5</v>
      </c>
    </row>
    <row r="63" spans="3:25" x14ac:dyDescent="0.25">
      <c r="C63" s="29"/>
      <c r="D63" s="1">
        <v>57</v>
      </c>
      <c r="E63" s="12">
        <v>58</v>
      </c>
      <c r="F63" s="7">
        <f t="shared" si="16"/>
        <v>149.8216849256074</v>
      </c>
      <c r="G63" s="10">
        <f t="shared" si="19"/>
        <v>0.27744843340914266</v>
      </c>
      <c r="H63" s="7">
        <f t="shared" si="17"/>
        <v>0.3871268703779388</v>
      </c>
      <c r="I63" s="16">
        <f t="shared" si="10"/>
        <v>58.066740553067447</v>
      </c>
      <c r="J63" s="9">
        <f t="shared" si="18"/>
        <v>-6.6740553067447195E-2</v>
      </c>
      <c r="K63" s="9">
        <f t="shared" si="20"/>
        <v>6.6740553067447195E-2</v>
      </c>
      <c r="M63" s="14">
        <f t="shared" si="12"/>
        <v>45.533333333333331</v>
      </c>
      <c r="O63" s="1">
        <f t="shared" si="13"/>
        <v>41.459280624977097</v>
      </c>
      <c r="P63" s="1">
        <f t="shared" si="14"/>
        <v>16.540719375022903</v>
      </c>
      <c r="Q63" s="1">
        <f t="shared" si="15"/>
        <v>273.59539744325804</v>
      </c>
      <c r="V63" s="1" t="s">
        <v>26</v>
      </c>
      <c r="W63" s="1">
        <f>W62/Y62</f>
        <v>0.93680725158371059</v>
      </c>
    </row>
    <row r="64" spans="3:25" x14ac:dyDescent="0.25">
      <c r="C64" s="29"/>
      <c r="D64" s="1">
        <v>58</v>
      </c>
      <c r="E64" s="12">
        <v>46</v>
      </c>
      <c r="F64" s="7">
        <f t="shared" si="16"/>
        <v>67.12430518868949</v>
      </c>
      <c r="G64" s="10">
        <f t="shared" si="19"/>
        <v>6.1705669251896356E-2</v>
      </c>
      <c r="H64" s="7">
        <f t="shared" si="17"/>
        <v>0.68529573409649303</v>
      </c>
      <c r="I64" s="16">
        <f t="shared" si="10"/>
        <v>46.091917386071245</v>
      </c>
      <c r="J64" s="9">
        <f t="shared" si="18"/>
        <v>-9.1917386071244778E-2</v>
      </c>
      <c r="K64" s="9">
        <f t="shared" si="20"/>
        <v>9.1917386071244778E-2</v>
      </c>
      <c r="M64" s="14">
        <f t="shared" si="12"/>
        <v>44.666666666666664</v>
      </c>
      <c r="O64" s="1">
        <f t="shared" si="13"/>
        <v>41.459280624977097</v>
      </c>
      <c r="P64" s="1">
        <f t="shared" si="14"/>
        <v>4.5407193750229027</v>
      </c>
      <c r="Q64" s="1">
        <f t="shared" si="15"/>
        <v>20.618132442708379</v>
      </c>
    </row>
    <row r="65" spans="3:17" x14ac:dyDescent="0.25">
      <c r="C65" s="29"/>
      <c r="D65" s="1">
        <v>59</v>
      </c>
      <c r="E65" s="12">
        <v>67</v>
      </c>
      <c r="F65" s="7">
        <f t="shared" si="16"/>
        <v>54.539414040449678</v>
      </c>
      <c r="G65" s="10">
        <f t="shared" si="19"/>
        <v>2.8823266061049936E-2</v>
      </c>
      <c r="H65" s="7">
        <f t="shared" si="17"/>
        <v>1.2284693772160591</v>
      </c>
      <c r="I65" s="16">
        <f t="shared" si="10"/>
        <v>67.048951495315691</v>
      </c>
      <c r="J65" s="9">
        <f t="shared" si="18"/>
        <v>-4.8951495315691318E-2</v>
      </c>
      <c r="K65" s="9">
        <f t="shared" si="20"/>
        <v>4.8951495315691318E-2</v>
      </c>
      <c r="M65" s="14">
        <f t="shared" si="12"/>
        <v>44.133333333333333</v>
      </c>
      <c r="O65" s="1">
        <f t="shared" si="13"/>
        <v>41.459280624977097</v>
      </c>
      <c r="P65" s="1">
        <f t="shared" si="14"/>
        <v>25.540719375022903</v>
      </c>
      <c r="Q65" s="1">
        <f t="shared" si="15"/>
        <v>652.32834619367031</v>
      </c>
    </row>
    <row r="66" spans="3:17" x14ac:dyDescent="0.25">
      <c r="C66" s="29"/>
      <c r="D66" s="1">
        <v>60</v>
      </c>
      <c r="E66" s="12">
        <v>58</v>
      </c>
      <c r="F66" s="7">
        <f t="shared" si="16"/>
        <v>83.673220705033728</v>
      </c>
      <c r="G66" s="10">
        <f t="shared" si="19"/>
        <v>0.10449910303004582</v>
      </c>
      <c r="H66" s="7">
        <f t="shared" si="17"/>
        <v>0.69317279185968705</v>
      </c>
      <c r="I66" s="16">
        <f t="shared" si="10"/>
        <v>58.054845406640645</v>
      </c>
      <c r="J66" s="9">
        <f t="shared" si="18"/>
        <v>-5.4845406640644967E-2</v>
      </c>
      <c r="K66" s="9">
        <f t="shared" si="20"/>
        <v>5.4845406640644967E-2</v>
      </c>
      <c r="M66" s="14">
        <f t="shared" si="12"/>
        <v>44.06666666666667</v>
      </c>
      <c r="O66" s="1">
        <f t="shared" si="13"/>
        <v>41.459280624977097</v>
      </c>
      <c r="P66" s="1">
        <f t="shared" si="14"/>
        <v>16.540719375022903</v>
      </c>
      <c r="Q66" s="1">
        <f t="shared" si="15"/>
        <v>273.59539744325804</v>
      </c>
    </row>
    <row r="67" spans="3:17" x14ac:dyDescent="0.25">
      <c r="C67" s="29"/>
      <c r="D67" s="1">
        <v>61</v>
      </c>
      <c r="E67" s="12">
        <v>68</v>
      </c>
      <c r="F67" s="7">
        <f t="shared" si="16"/>
        <v>42.269840627961379</v>
      </c>
      <c r="G67" s="10">
        <f t="shared" si="19"/>
        <v>-3.4254903205764714E-3</v>
      </c>
      <c r="H67" s="7">
        <f t="shared" si="17"/>
        <v>1.608712003399847</v>
      </c>
      <c r="I67" s="16">
        <f t="shared" si="10"/>
        <v>68.052700342795433</v>
      </c>
      <c r="J67" s="9">
        <f t="shared" si="18"/>
        <v>-5.2700342795432675E-2</v>
      </c>
      <c r="K67" s="9">
        <f t="shared" si="20"/>
        <v>5.2700342795432675E-2</v>
      </c>
      <c r="M67" s="14">
        <f t="shared" si="12"/>
        <v>42.4</v>
      </c>
      <c r="O67" s="1">
        <f t="shared" si="13"/>
        <v>41.459280624977097</v>
      </c>
      <c r="P67" s="1">
        <f t="shared" si="14"/>
        <v>26.540719375022903</v>
      </c>
      <c r="Q67" s="1">
        <f t="shared" si="15"/>
        <v>704.40978494371609</v>
      </c>
    </row>
    <row r="68" spans="3:17" x14ac:dyDescent="0.25">
      <c r="C68" s="29"/>
      <c r="D68" s="1">
        <v>62</v>
      </c>
      <c r="E68" s="12">
        <v>15</v>
      </c>
      <c r="F68" s="7">
        <f t="shared" si="16"/>
        <v>6.6324318230850512</v>
      </c>
      <c r="G68" s="10">
        <f t="shared" si="19"/>
        <v>-9.6077373159481907E-2</v>
      </c>
      <c r="H68" s="7">
        <f t="shared" si="17"/>
        <v>2.2616138997148116</v>
      </c>
      <c r="I68" s="16">
        <f t="shared" si="10"/>
        <v>14.852219306617464</v>
      </c>
      <c r="J68" s="9">
        <f t="shared" si="18"/>
        <v>0.1477806933825363</v>
      </c>
      <c r="K68" s="9">
        <f t="shared" si="20"/>
        <v>0.1477806933825363</v>
      </c>
      <c r="M68" s="14">
        <f t="shared" si="12"/>
        <v>41.93333333333333</v>
      </c>
      <c r="O68" s="1">
        <f t="shared" si="13"/>
        <v>41.459280624977097</v>
      </c>
      <c r="P68" s="1">
        <f t="shared" si="14"/>
        <v>-26.459280624977097</v>
      </c>
      <c r="Q68" s="1">
        <f t="shared" si="15"/>
        <v>700.09353119128843</v>
      </c>
    </row>
    <row r="69" spans="3:17" x14ac:dyDescent="0.25">
      <c r="C69" s="29"/>
      <c r="D69" s="1">
        <v>63</v>
      </c>
      <c r="E69" s="12">
        <v>32</v>
      </c>
      <c r="F69" s="7">
        <f t="shared" si="16"/>
        <v>46.706695883016941</v>
      </c>
      <c r="G69" s="10">
        <f t="shared" si="19"/>
        <v>8.3694896906027771E-3</v>
      </c>
      <c r="H69" s="7">
        <f t="shared" si="17"/>
        <v>0.68512660540467696</v>
      </c>
      <c r="I69" s="16">
        <f t="shared" si="10"/>
        <v>31.981774068695472</v>
      </c>
      <c r="J69" s="9">
        <f t="shared" si="18"/>
        <v>1.8225931304527876E-2</v>
      </c>
      <c r="K69" s="9">
        <f t="shared" si="20"/>
        <v>1.8225931304527876E-2</v>
      </c>
      <c r="M69" s="14">
        <f>AVERAGE(E69:E83)</f>
        <v>42.666666666666664</v>
      </c>
      <c r="O69" s="1">
        <f t="shared" si="13"/>
        <v>41.459280624977097</v>
      </c>
      <c r="P69" s="1">
        <f t="shared" si="14"/>
        <v>-9.4592806249770973</v>
      </c>
      <c r="Q69" s="1">
        <f t="shared" si="15"/>
        <v>89.477989942067111</v>
      </c>
    </row>
    <row r="70" spans="3:17" x14ac:dyDescent="0.25">
      <c r="C70" s="29"/>
      <c r="D70" s="1">
        <v>64</v>
      </c>
      <c r="E70" s="12">
        <v>41</v>
      </c>
      <c r="F70" s="7">
        <f t="shared" si="16"/>
        <v>62.543848410386879</v>
      </c>
      <c r="G70" s="10">
        <f t="shared" si="19"/>
        <v>4.9525891952554142E-2</v>
      </c>
      <c r="H70" s="7">
        <f t="shared" si="17"/>
        <v>0.65554008974591627</v>
      </c>
      <c r="I70" s="16">
        <f t="shared" si="10"/>
        <v>41.023422336732381</v>
      </c>
      <c r="J70" s="9">
        <f t="shared" si="18"/>
        <v>-2.34223367323807E-2</v>
      </c>
      <c r="K70" s="9">
        <f t="shared" si="20"/>
        <v>2.34223367323807E-2</v>
      </c>
      <c r="M70" s="14">
        <f>AVERAGE(E70:E84)</f>
        <v>43.2</v>
      </c>
      <c r="O70" s="1">
        <f t="shared" si="13"/>
        <v>41.459280624977097</v>
      </c>
      <c r="P70" s="1">
        <f t="shared" si="14"/>
        <v>-0.45928062497709732</v>
      </c>
      <c r="Q70" s="1">
        <f t="shared" si="15"/>
        <v>0.2109386924793531</v>
      </c>
    </row>
    <row r="71" spans="3:17" x14ac:dyDescent="0.25">
      <c r="C71" s="29"/>
      <c r="D71" s="1">
        <v>65</v>
      </c>
      <c r="E71" s="12">
        <v>18</v>
      </c>
      <c r="F71" s="7">
        <f t="shared" si="16"/>
        <v>40.53114456626615</v>
      </c>
      <c r="G71" s="10">
        <f t="shared" si="19"/>
        <v>-7.8380885664775801E-3</v>
      </c>
      <c r="H71" s="7">
        <f t="shared" si="17"/>
        <v>0.44410292856573563</v>
      </c>
      <c r="I71" s="16">
        <f t="shared" si="10"/>
        <v>18.005056264281887</v>
      </c>
      <c r="J71" s="9">
        <f t="shared" si="18"/>
        <v>-5.0562642818867687E-3</v>
      </c>
      <c r="K71" s="9">
        <f t="shared" si="20"/>
        <v>5.0562642818867687E-3</v>
      </c>
    </row>
    <row r="72" spans="3:17" x14ac:dyDescent="0.25">
      <c r="C72" s="29"/>
      <c r="D72" s="1">
        <v>66</v>
      </c>
      <c r="E72" s="12">
        <v>63</v>
      </c>
      <c r="F72" s="7">
        <f t="shared" si="16"/>
        <v>162.13716412547882</v>
      </c>
      <c r="G72" s="10">
        <f t="shared" si="19"/>
        <v>0.30836997582262798</v>
      </c>
      <c r="H72" s="7">
        <f t="shared" si="17"/>
        <v>0.38855989827997711</v>
      </c>
      <c r="I72" s="16">
        <f t="shared" si="10"/>
        <v>63.078606457265955</v>
      </c>
      <c r="J72" s="9">
        <f t="shared" si="18"/>
        <v>-7.8606457265955498E-2</v>
      </c>
      <c r="K72" s="9">
        <f t="shared" si="20"/>
        <v>7.8606457265955498E-2</v>
      </c>
    </row>
    <row r="73" spans="3:17" x14ac:dyDescent="0.25">
      <c r="C73" s="29"/>
      <c r="D73" s="1">
        <v>67</v>
      </c>
      <c r="E73" s="12">
        <v>88</v>
      </c>
      <c r="F73" s="7">
        <f t="shared" si="16"/>
        <v>40.106816848806893</v>
      </c>
      <c r="G73" s="10">
        <f t="shared" si="19"/>
        <v>-9.7227952684452723E-3</v>
      </c>
      <c r="H73" s="7">
        <f t="shared" si="17"/>
        <v>2.1941407200611045</v>
      </c>
      <c r="I73" s="16">
        <f t="shared" si="10"/>
        <v>88.213056311330604</v>
      </c>
      <c r="J73" s="9">
        <f t="shared" si="18"/>
        <v>-0.21305631133060388</v>
      </c>
      <c r="K73" s="9">
        <f t="shared" si="20"/>
        <v>0.21305631133060388</v>
      </c>
    </row>
    <row r="74" spans="3:17" x14ac:dyDescent="0.25">
      <c r="C74" s="29"/>
      <c r="D74" s="1">
        <v>68</v>
      </c>
      <c r="E74" s="12">
        <v>21</v>
      </c>
      <c r="F74" s="7">
        <f t="shared" si="16"/>
        <v>57.87461309598595</v>
      </c>
      <c r="G74" s="10">
        <f t="shared" si="19"/>
        <v>3.6500513446369141E-2</v>
      </c>
      <c r="H74" s="7">
        <f t="shared" si="17"/>
        <v>0.36285339765764257</v>
      </c>
      <c r="I74" s="16">
        <f t="shared" si="10"/>
        <v>21.007623258591398</v>
      </c>
      <c r="J74" s="9">
        <f t="shared" si="18"/>
        <v>-7.6232585913977857E-3</v>
      </c>
      <c r="K74" s="9">
        <f t="shared" si="20"/>
        <v>7.6232585913977857E-3</v>
      </c>
    </row>
    <row r="75" spans="3:17" x14ac:dyDescent="0.25">
      <c r="C75" s="29"/>
      <c r="D75" s="1">
        <v>69</v>
      </c>
      <c r="E75" s="12">
        <v>33</v>
      </c>
      <c r="F75" s="7">
        <f t="shared" si="16"/>
        <v>16.352568382230093</v>
      </c>
      <c r="G75" s="10">
        <f t="shared" si="19"/>
        <v>-7.1555816640457071E-2</v>
      </c>
      <c r="H75" s="7">
        <f t="shared" si="17"/>
        <v>2.0180316161136029</v>
      </c>
      <c r="I75" s="16">
        <f t="shared" si="10"/>
        <v>32.92849444888104</v>
      </c>
      <c r="J75" s="9">
        <f t="shared" si="18"/>
        <v>7.1505551118960398E-2</v>
      </c>
      <c r="K75" s="9">
        <f t="shared" si="20"/>
        <v>7.1505551118960398E-2</v>
      </c>
    </row>
    <row r="76" spans="3:17" x14ac:dyDescent="0.25">
      <c r="C76" s="29"/>
      <c r="D76" s="1">
        <v>70</v>
      </c>
      <c r="E76" s="12">
        <v>40</v>
      </c>
      <c r="F76" s="7">
        <f t="shared" si="16"/>
        <v>77.846782521893317</v>
      </c>
      <c r="G76" s="10">
        <f t="shared" ref="G76:G80" si="21">$P$3*(F76-F75)+(1-$P$3)*G75</f>
        <v>8.8521277590779518E-2</v>
      </c>
      <c r="H76" s="7">
        <f t="shared" si="17"/>
        <v>0.51382984246973296</v>
      </c>
      <c r="I76" s="16">
        <f t="shared" si="10"/>
        <v>40.017916404276072</v>
      </c>
      <c r="J76" s="9">
        <f t="shared" si="18"/>
        <v>-1.7916404276071773E-2</v>
      </c>
      <c r="K76" s="9">
        <f t="shared" ref="K76:K80" si="22">ABS(J76)</f>
        <v>1.7916404276071773E-2</v>
      </c>
    </row>
    <row r="77" spans="3:17" x14ac:dyDescent="0.25">
      <c r="C77" s="29"/>
      <c r="D77" s="1">
        <v>71</v>
      </c>
      <c r="E77" s="12">
        <v>35</v>
      </c>
      <c r="F77" s="7">
        <f t="shared" si="16"/>
        <v>44.768763139305612</v>
      </c>
      <c r="G77" s="10">
        <f t="shared" si="21"/>
        <v>2.2849898232142063E-3</v>
      </c>
      <c r="H77" s="7">
        <f t="shared" si="17"/>
        <v>0.78179510769800709</v>
      </c>
      <c r="I77" s="16">
        <f t="shared" si="10"/>
        <v>35.024388826683193</v>
      </c>
      <c r="J77" s="9">
        <f t="shared" si="18"/>
        <v>-2.4388826683193088E-2</v>
      </c>
      <c r="K77" s="9">
        <f t="shared" si="22"/>
        <v>2.4388826683193088E-2</v>
      </c>
    </row>
    <row r="78" spans="3:17" x14ac:dyDescent="0.25">
      <c r="C78" s="29"/>
      <c r="D78" s="1">
        <v>72</v>
      </c>
      <c r="E78" s="12">
        <v>45</v>
      </c>
      <c r="F78" s="7">
        <f t="shared" si="16"/>
        <v>116.17876039759858</v>
      </c>
      <c r="G78" s="10">
        <f t="shared" si="21"/>
        <v>0.18795210799212253</v>
      </c>
      <c r="H78" s="7">
        <f t="shared" si="17"/>
        <v>0.38733413789230059</v>
      </c>
      <c r="I78" s="16">
        <f t="shared" si="10"/>
        <v>45.048681228458683</v>
      </c>
      <c r="J78" s="9">
        <f t="shared" si="18"/>
        <v>-4.8681228458683279E-2</v>
      </c>
      <c r="K78" s="9">
        <f t="shared" si="22"/>
        <v>4.8681228458683279E-2</v>
      </c>
    </row>
    <row r="79" spans="3:17" x14ac:dyDescent="0.25">
      <c r="C79" s="29"/>
      <c r="D79" s="1">
        <v>73</v>
      </c>
      <c r="E79" s="12">
        <v>38</v>
      </c>
      <c r="F79" s="7">
        <f t="shared" si="16"/>
        <v>55.503529866073627</v>
      </c>
      <c r="G79" s="10">
        <f t="shared" si="21"/>
        <v>2.9701810310246851E-2</v>
      </c>
      <c r="H79" s="7">
        <f t="shared" si="17"/>
        <v>0.68464114069306048</v>
      </c>
      <c r="I79" s="16">
        <f t="shared" si="10"/>
        <v>38.05668676841811</v>
      </c>
      <c r="J79" s="9">
        <f t="shared" si="18"/>
        <v>-5.6686768418110489E-2</v>
      </c>
      <c r="K79" s="9">
        <f t="shared" si="22"/>
        <v>5.6686768418110489E-2</v>
      </c>
    </row>
    <row r="80" spans="3:17" x14ac:dyDescent="0.25">
      <c r="C80" s="29"/>
      <c r="D80" s="1">
        <v>74</v>
      </c>
      <c r="E80" s="12">
        <v>66</v>
      </c>
      <c r="F80" s="7">
        <f t="shared" si="16"/>
        <v>53.726966342405809</v>
      </c>
      <c r="G80" s="10">
        <f t="shared" si="21"/>
        <v>2.500534169986415E-2</v>
      </c>
      <c r="H80" s="7">
        <f t="shared" si="17"/>
        <v>1.2284334011970315</v>
      </c>
      <c r="I80" s="16">
        <f t="shared" si="10"/>
        <v>66.032651178908537</v>
      </c>
      <c r="J80" s="9">
        <f t="shared" si="18"/>
        <v>-3.2651178908537304E-2</v>
      </c>
      <c r="K80" s="9">
        <f t="shared" si="22"/>
        <v>3.2651178908537304E-2</v>
      </c>
    </row>
    <row r="81" spans="3:11" x14ac:dyDescent="0.25">
      <c r="C81" s="29"/>
      <c r="D81" s="1">
        <v>75</v>
      </c>
      <c r="E81" s="12">
        <v>33</v>
      </c>
      <c r="F81" s="7">
        <f t="shared" si="16"/>
        <v>47.612525265135872</v>
      </c>
      <c r="G81" s="10">
        <f t="shared" ref="G81:G84" si="23">$P$3*(F81-F80)+(1-$P$3)*G80</f>
        <v>9.0421734712431423E-3</v>
      </c>
      <c r="H81" s="7">
        <f t="shared" si="17"/>
        <v>0.69309493281937207</v>
      </c>
      <c r="I81" s="16">
        <f t="shared" si="10"/>
        <v>33.009974854153661</v>
      </c>
      <c r="J81" s="9">
        <f t="shared" si="18"/>
        <v>-9.9748541536612834E-3</v>
      </c>
      <c r="K81" s="9">
        <f t="shared" ref="K81:K84" si="24">ABS(J81)</f>
        <v>9.9748541536612834E-3</v>
      </c>
    </row>
    <row r="82" spans="3:11" x14ac:dyDescent="0.25">
      <c r="C82" s="29"/>
      <c r="D82" s="1">
        <v>76</v>
      </c>
      <c r="E82" s="12">
        <v>61</v>
      </c>
      <c r="F82" s="7">
        <f t="shared" si="16"/>
        <v>37.926978296350626</v>
      </c>
      <c r="G82" s="10">
        <f t="shared" si="23"/>
        <v>-1.6164717643081642E-2</v>
      </c>
      <c r="H82" s="7">
        <f t="shared" si="17"/>
        <v>1.6083538088208174</v>
      </c>
      <c r="I82" s="16">
        <f t="shared" si="10"/>
        <v>60.987580862720741</v>
      </c>
      <c r="J82" s="9">
        <f t="shared" si="18"/>
        <v>1.2419137279259473E-2</v>
      </c>
      <c r="K82" s="9">
        <f t="shared" si="24"/>
        <v>1.2419137279259473E-2</v>
      </c>
    </row>
    <row r="83" spans="3:11" x14ac:dyDescent="0.25">
      <c r="C83" s="29"/>
      <c r="D83" s="1">
        <v>77</v>
      </c>
      <c r="E83" s="12">
        <v>26</v>
      </c>
      <c r="F83" s="7">
        <f t="shared" si="16"/>
        <v>11.51920444224443</v>
      </c>
      <c r="G83" s="10">
        <f t="shared" si="23"/>
        <v>-8.4785513024184578E-2</v>
      </c>
      <c r="H83" s="7">
        <f t="shared" si="17"/>
        <v>2.2571003171581956</v>
      </c>
      <c r="I83" s="16">
        <f t="shared" si="10"/>
        <v>25.86024078548666</v>
      </c>
      <c r="J83" s="9">
        <f t="shared" si="18"/>
        <v>0.13975921451334017</v>
      </c>
      <c r="K83" s="9">
        <f t="shared" si="24"/>
        <v>0.13975921451334017</v>
      </c>
    </row>
    <row r="84" spans="3:11" x14ac:dyDescent="0.25">
      <c r="C84" s="29"/>
      <c r="D84" s="1">
        <v>78</v>
      </c>
      <c r="E84" s="12">
        <v>40</v>
      </c>
      <c r="F84" s="7">
        <f t="shared" si="16"/>
        <v>58.342509013635933</v>
      </c>
      <c r="G84" s="10">
        <f t="shared" si="23"/>
        <v>3.7180163064651717E-2</v>
      </c>
      <c r="H84" s="7">
        <f t="shared" si="17"/>
        <v>0.68560644161962792</v>
      </c>
      <c r="I84" s="16">
        <f t="shared" si="10"/>
        <v>39.997478270213037</v>
      </c>
      <c r="J84" s="9">
        <f t="shared" si="18"/>
        <v>2.5217297869630784E-3</v>
      </c>
      <c r="K84" s="9">
        <f t="shared" si="24"/>
        <v>2.5217297869630784E-3</v>
      </c>
    </row>
    <row r="85" spans="3:11" x14ac:dyDescent="0.25">
      <c r="D85" s="1">
        <v>79</v>
      </c>
      <c r="E85" s="4">
        <v>12</v>
      </c>
      <c r="F85" s="7">
        <f t="shared" si="16"/>
        <v>18.340394157397693</v>
      </c>
      <c r="G85" s="10">
        <f t="shared" ref="G85" si="25">$P$3*(F85-F84)+(1-$P$3)*G84</f>
        <v>-6.692596614166349E-2</v>
      </c>
      <c r="H85" s="7">
        <f t="shared" si="17"/>
        <v>0.65429346267128818</v>
      </c>
      <c r="I85" s="16">
        <f t="shared" si="10"/>
        <v>11.978990978065124</v>
      </c>
      <c r="J85" s="9">
        <f t="shared" si="18"/>
        <v>2.1009021934876415E-2</v>
      </c>
      <c r="K85" s="9">
        <f t="shared" ref="K85" si="26">ABS(J85)</f>
        <v>2.1009021934876415E-2</v>
      </c>
    </row>
    <row r="86" spans="3:11" x14ac:dyDescent="0.25">
      <c r="D86" s="1">
        <v>80</v>
      </c>
      <c r="E86" s="5">
        <v>29</v>
      </c>
      <c r="F86" s="7">
        <f t="shared" ref="F86:F94" si="27">$P$2*(E86/H71)+(1-$P$2)*(F85+G85)</f>
        <v>65.259248841695054</v>
      </c>
      <c r="G86" s="10">
        <f t="shared" ref="G86:G94" si="28">$P$3*(F86-F85)+(1-$P$3)*G85</f>
        <v>5.5241713106834775E-2</v>
      </c>
      <c r="H86" s="7">
        <f t="shared" ref="H86:H94" si="29">$P$4*(E86/F86)+(1-$P$4)*H71</f>
        <v>0.44438145572818011</v>
      </c>
      <c r="I86" s="16">
        <f t="shared" si="10"/>
        <v>29.006356533166599</v>
      </c>
      <c r="J86" s="9">
        <f t="shared" ref="J86:J94" si="30">E86-I86</f>
        <v>-6.3565331665991209E-3</v>
      </c>
      <c r="K86" s="9">
        <f t="shared" ref="K86:K94" si="31">ABS(J86)</f>
        <v>6.3565331665991209E-3</v>
      </c>
    </row>
    <row r="87" spans="3:11" x14ac:dyDescent="0.25">
      <c r="D87" s="1">
        <v>81</v>
      </c>
      <c r="E87" s="5">
        <v>45</v>
      </c>
      <c r="F87" s="7">
        <f t="shared" si="27"/>
        <v>115.76831062435713</v>
      </c>
      <c r="G87" s="10">
        <f t="shared" si="28"/>
        <v>0.18642663803073886</v>
      </c>
      <c r="H87" s="7">
        <f t="shared" si="29"/>
        <v>0.38870740842038515</v>
      </c>
      <c r="I87" s="16">
        <f t="shared" ref="I87:I110" si="32">(F87+(G87))*H72</f>
        <v>45.055360915754903</v>
      </c>
      <c r="J87" s="9">
        <f t="shared" si="30"/>
        <v>-5.5360915754903317E-2</v>
      </c>
      <c r="K87" s="9">
        <f t="shared" si="31"/>
        <v>5.5360915754903317E-2</v>
      </c>
    </row>
    <row r="88" spans="3:11" x14ac:dyDescent="0.25">
      <c r="D88" s="1">
        <v>82</v>
      </c>
      <c r="E88" s="5">
        <v>24</v>
      </c>
      <c r="F88" s="7">
        <f t="shared" si="27"/>
        <v>11.029621262439512</v>
      </c>
      <c r="G88" s="10">
        <f t="shared" si="28"/>
        <v>-8.6389046611363401E-2</v>
      </c>
      <c r="H88" s="7">
        <f t="shared" si="29"/>
        <v>2.1759586688375303</v>
      </c>
      <c r="I88" s="16">
        <f t="shared" si="32"/>
        <v>24.01099141383305</v>
      </c>
      <c r="J88" s="9">
        <f t="shared" si="30"/>
        <v>-1.0991413833050245E-2</v>
      </c>
      <c r="K88" s="9">
        <f t="shared" si="31"/>
        <v>1.0991413833050245E-2</v>
      </c>
    </row>
    <row r="89" spans="3:11" x14ac:dyDescent="0.25">
      <c r="D89" s="1">
        <v>83</v>
      </c>
      <c r="E89" s="5">
        <v>55</v>
      </c>
      <c r="F89" s="7">
        <f t="shared" si="27"/>
        <v>151.45397111547189</v>
      </c>
      <c r="G89" s="10">
        <f t="shared" si="28"/>
        <v>0.2789527790054207</v>
      </c>
      <c r="H89" s="7">
        <f t="shared" si="29"/>
        <v>0.36314663521147805</v>
      </c>
      <c r="I89" s="16">
        <f t="shared" si="32"/>
        <v>55.056806971639588</v>
      </c>
      <c r="J89" s="9">
        <f t="shared" si="30"/>
        <v>-5.6806971639588255E-2</v>
      </c>
      <c r="K89" s="9">
        <f t="shared" si="31"/>
        <v>5.6806971639588255E-2</v>
      </c>
    </row>
    <row r="90" spans="3:11" x14ac:dyDescent="0.25">
      <c r="D90" s="1">
        <v>84</v>
      </c>
      <c r="E90" s="5">
        <v>45</v>
      </c>
      <c r="F90" s="7">
        <f t="shared" si="27"/>
        <v>22.411606486818386</v>
      </c>
      <c r="G90" s="10">
        <f t="shared" si="28"/>
        <v>-5.7295443464082774E-2</v>
      </c>
      <c r="H90" s="7">
        <f t="shared" si="29"/>
        <v>2.0078881907223924</v>
      </c>
      <c r="I90" s="16">
        <f t="shared" si="32"/>
        <v>45.111706441926451</v>
      </c>
      <c r="J90" s="9">
        <f t="shared" si="30"/>
        <v>-0.11170644192645085</v>
      </c>
      <c r="K90" s="9">
        <f t="shared" si="31"/>
        <v>0.11170644192645085</v>
      </c>
    </row>
    <row r="91" spans="3:11" x14ac:dyDescent="0.25">
      <c r="D91" s="1">
        <v>85</v>
      </c>
      <c r="E91" s="5">
        <v>64</v>
      </c>
      <c r="F91" s="7">
        <f t="shared" si="27"/>
        <v>124.4659043613335</v>
      </c>
      <c r="G91" s="10">
        <f t="shared" si="28"/>
        <v>0.20820480378800627</v>
      </c>
      <c r="H91" s="7">
        <f t="shared" si="29"/>
        <v>0.51419704318544446</v>
      </c>
      <c r="I91" s="16">
        <f t="shared" si="32"/>
        <v>64.061277872368677</v>
      </c>
      <c r="J91" s="9">
        <f t="shared" si="30"/>
        <v>-6.1277872368677322E-2</v>
      </c>
      <c r="K91" s="9">
        <f t="shared" si="31"/>
        <v>6.1277872368677322E-2</v>
      </c>
    </row>
    <row r="92" spans="3:11" x14ac:dyDescent="0.25">
      <c r="D92" s="1">
        <v>86</v>
      </c>
      <c r="E92" s="5">
        <v>57</v>
      </c>
      <c r="F92" s="7">
        <f t="shared" si="27"/>
        <v>72.954180891766043</v>
      </c>
      <c r="G92" s="10">
        <f t="shared" si="28"/>
        <v>7.3727872244343851E-2</v>
      </c>
      <c r="H92" s="7">
        <f t="shared" si="29"/>
        <v>0.78131231552807812</v>
      </c>
      <c r="I92" s="16">
        <f t="shared" si="32"/>
        <v>57.092861797119738</v>
      </c>
      <c r="J92" s="9">
        <f t="shared" si="30"/>
        <v>-9.2861797119738299E-2</v>
      </c>
      <c r="K92" s="9">
        <f t="shared" si="31"/>
        <v>9.2861797119738299E-2</v>
      </c>
    </row>
    <row r="93" spans="3:11" x14ac:dyDescent="0.25">
      <c r="D93" s="1">
        <v>87</v>
      </c>
      <c r="E93" s="5">
        <v>65</v>
      </c>
      <c r="F93" s="7">
        <f t="shared" si="27"/>
        <v>167.73127052967044</v>
      </c>
      <c r="G93" s="10">
        <f t="shared" si="28"/>
        <v>0.31996598436632573</v>
      </c>
      <c r="H93" s="7">
        <f t="shared" si="29"/>
        <v>0.38752463863619263</v>
      </c>
      <c r="I93" s="16">
        <f t="shared" si="32"/>
        <v>65.091980816899536</v>
      </c>
      <c r="J93" s="9">
        <f t="shared" si="30"/>
        <v>-9.1980816899535967E-2</v>
      </c>
      <c r="K93" s="9">
        <f t="shared" si="31"/>
        <v>9.1980816899535967E-2</v>
      </c>
    </row>
    <row r="94" spans="3:11" x14ac:dyDescent="0.25">
      <c r="D94" s="1">
        <v>88</v>
      </c>
      <c r="E94" s="5">
        <v>15</v>
      </c>
      <c r="F94" s="7">
        <f t="shared" si="27"/>
        <v>22.036479078914518</v>
      </c>
      <c r="G94" s="10">
        <f t="shared" si="28"/>
        <v>-5.968683410216169E-2</v>
      </c>
      <c r="H94" s="7">
        <f t="shared" si="29"/>
        <v>0.68068950335866796</v>
      </c>
      <c r="I94" s="16">
        <f t="shared" si="32"/>
        <v>15.046216111262735</v>
      </c>
      <c r="J94" s="9">
        <f t="shared" si="30"/>
        <v>-4.6216111262735282E-2</v>
      </c>
      <c r="K94" s="9">
        <f t="shared" si="31"/>
        <v>4.6216111262735282E-2</v>
      </c>
    </row>
    <row r="95" spans="3:11" x14ac:dyDescent="0.25">
      <c r="D95" s="1">
        <v>89</v>
      </c>
      <c r="E95" s="5">
        <v>29</v>
      </c>
      <c r="F95" s="7">
        <f t="shared" ref="F95:F110" si="33">$P$2*(E95/H80)+(1-$P$2)*(F94+G94)</f>
        <v>23.605884318454066</v>
      </c>
      <c r="G95" s="10">
        <f t="shared" ref="G95:G110" si="34">$P$3*(F95-F94)+(1-$P$3)*G94</f>
        <v>-5.5451033501133007E-2</v>
      </c>
      <c r="H95" s="7">
        <f t="shared" ref="H95:H110" si="35">$P$4*(E95/F95)+(1-$P$4)*H80</f>
        <v>1.2285072488188484</v>
      </c>
      <c r="I95" s="16">
        <f t="shared" si="32"/>
        <v>28.930138859898513</v>
      </c>
      <c r="J95" s="9">
        <f t="shared" ref="J95:J110" si="36">E95-I95</f>
        <v>6.9861140101487251E-2</v>
      </c>
      <c r="K95" s="9">
        <f t="shared" ref="K95:K110" si="37">ABS(J95)</f>
        <v>6.9861140101487251E-2</v>
      </c>
    </row>
    <row r="96" spans="3:11" x14ac:dyDescent="0.25">
      <c r="D96" s="1">
        <v>90</v>
      </c>
      <c r="E96" s="5">
        <v>40</v>
      </c>
      <c r="F96" s="7">
        <f t="shared" si="33"/>
        <v>57.682420042888793</v>
      </c>
      <c r="G96" s="10">
        <f t="shared" si="34"/>
        <v>3.3295509657952221E-2</v>
      </c>
      <c r="H96" s="7">
        <f t="shared" si="35"/>
        <v>0.69345218127565855</v>
      </c>
      <c r="I96" s="16">
        <f t="shared" si="32"/>
        <v>40.002469993514374</v>
      </c>
      <c r="J96" s="9">
        <f t="shared" si="36"/>
        <v>-2.4699935143743801E-3</v>
      </c>
      <c r="K96" s="9">
        <f t="shared" si="37"/>
        <v>2.4699935143743801E-3</v>
      </c>
    </row>
    <row r="97" spans="4:11" x14ac:dyDescent="0.25">
      <c r="D97" s="1">
        <v>91</v>
      </c>
      <c r="E97" s="5">
        <v>17</v>
      </c>
      <c r="F97" s="7">
        <f t="shared" si="33"/>
        <v>10.610845875067898</v>
      </c>
      <c r="G97" s="10">
        <f t="shared" si="34"/>
        <v>-8.9181812845505595E-2</v>
      </c>
      <c r="H97" s="7">
        <f t="shared" si="35"/>
        <v>1.6021342878935387</v>
      </c>
      <c r="I97" s="16">
        <f t="shared" si="32"/>
        <v>16.922558469608497</v>
      </c>
      <c r="J97" s="9">
        <f t="shared" si="36"/>
        <v>7.7441530391503477E-2</v>
      </c>
      <c r="K97" s="9">
        <f t="shared" si="37"/>
        <v>7.7441530391503477E-2</v>
      </c>
    </row>
    <row r="98" spans="4:11" x14ac:dyDescent="0.25">
      <c r="D98" s="1">
        <v>92</v>
      </c>
      <c r="E98" s="5">
        <v>55</v>
      </c>
      <c r="F98" s="7">
        <f t="shared" si="33"/>
        <v>24.355497441423985</v>
      </c>
      <c r="G98" s="10">
        <f t="shared" si="34"/>
        <v>-5.3212477109212411E-2</v>
      </c>
      <c r="H98" s="7">
        <f t="shared" si="35"/>
        <v>2.2582170671027089</v>
      </c>
      <c r="I98" s="16">
        <f t="shared" si="32"/>
        <v>54.85269510062372</v>
      </c>
      <c r="J98" s="9">
        <f t="shared" si="36"/>
        <v>0.14730489937628022</v>
      </c>
      <c r="K98" s="9">
        <f t="shared" si="37"/>
        <v>0.14730489937628022</v>
      </c>
    </row>
    <row r="99" spans="4:11" x14ac:dyDescent="0.25">
      <c r="D99" s="1">
        <v>93</v>
      </c>
      <c r="E99" s="5">
        <v>86</v>
      </c>
      <c r="F99" s="7">
        <f t="shared" si="33"/>
        <v>125.34837484755673</v>
      </c>
      <c r="G99" s="10">
        <f t="shared" si="34"/>
        <v>0.20951735577386615</v>
      </c>
      <c r="H99" s="7">
        <f t="shared" si="35"/>
        <v>0.68608787393206716</v>
      </c>
      <c r="I99" s="16">
        <f t="shared" si="32"/>
        <v>86.083299690786319</v>
      </c>
      <c r="J99" s="9">
        <f t="shared" si="36"/>
        <v>-8.3299690786319047E-2</v>
      </c>
      <c r="K99" s="9">
        <f t="shared" si="37"/>
        <v>8.3299690786319047E-2</v>
      </c>
    </row>
    <row r="100" spans="4:11" x14ac:dyDescent="0.25">
      <c r="D100" s="1">
        <v>94</v>
      </c>
      <c r="E100" s="5">
        <v>19</v>
      </c>
      <c r="F100" s="7">
        <f t="shared" si="33"/>
        <v>29.122960246330834</v>
      </c>
      <c r="G100" s="10">
        <f t="shared" si="34"/>
        <v>-4.1223010196054594E-2</v>
      </c>
      <c r="H100" s="7">
        <f t="shared" si="35"/>
        <v>0.65240620593827814</v>
      </c>
      <c r="I100" s="16">
        <f t="shared" si="32"/>
        <v>19.027990556727161</v>
      </c>
      <c r="J100" s="9">
        <f t="shared" si="36"/>
        <v>-2.799055672716122E-2</v>
      </c>
      <c r="K100" s="9">
        <f t="shared" si="37"/>
        <v>2.799055672716122E-2</v>
      </c>
    </row>
    <row r="101" spans="4:11" x14ac:dyDescent="0.25">
      <c r="D101" s="1">
        <v>95</v>
      </c>
      <c r="E101" s="5">
        <v>29</v>
      </c>
      <c r="F101" s="7">
        <f t="shared" si="33"/>
        <v>65.227762653205318</v>
      </c>
      <c r="G101" s="10">
        <f t="shared" si="34"/>
        <v>5.2760232779381182E-2</v>
      </c>
      <c r="H101" s="7">
        <f t="shared" si="35"/>
        <v>0.44459596374910965</v>
      </c>
      <c r="I101" s="16">
        <f t="shared" si="32"/>
        <v>29.009453790770657</v>
      </c>
      <c r="J101" s="9">
        <f t="shared" si="36"/>
        <v>-9.4537907706566671E-3</v>
      </c>
      <c r="K101" s="9">
        <f t="shared" si="37"/>
        <v>9.4537907706566671E-3</v>
      </c>
    </row>
    <row r="102" spans="4:11" x14ac:dyDescent="0.25">
      <c r="D102" s="1">
        <v>96</v>
      </c>
      <c r="E102" s="5">
        <v>37</v>
      </c>
      <c r="F102" s="7">
        <f t="shared" si="33"/>
        <v>95.161249031706973</v>
      </c>
      <c r="G102" s="10">
        <f t="shared" si="34"/>
        <v>0.13045307765603018</v>
      </c>
      <c r="H102" s="7">
        <f t="shared" si="35"/>
        <v>0.38881372802990316</v>
      </c>
      <c r="I102" s="16">
        <f t="shared" si="32"/>
        <v>37.040590570897841</v>
      </c>
      <c r="J102" s="9">
        <f t="shared" si="36"/>
        <v>-4.0590570897840905E-2</v>
      </c>
      <c r="K102" s="9">
        <f t="shared" si="37"/>
        <v>4.0590570897840905E-2</v>
      </c>
    </row>
    <row r="103" spans="4:11" x14ac:dyDescent="0.25">
      <c r="D103" s="1">
        <v>97</v>
      </c>
      <c r="E103" s="5">
        <v>34</v>
      </c>
      <c r="F103" s="7">
        <f t="shared" si="33"/>
        <v>15.694632443201462</v>
      </c>
      <c r="G103" s="10">
        <f t="shared" si="34"/>
        <v>-7.6507180138582737E-2</v>
      </c>
      <c r="H103" s="7">
        <f t="shared" si="35"/>
        <v>2.1663457314496068</v>
      </c>
      <c r="I103" s="16">
        <f t="shared" si="32"/>
        <v>33.984395057152106</v>
      </c>
      <c r="J103" s="9">
        <f t="shared" si="36"/>
        <v>1.560494284789371E-2</v>
      </c>
      <c r="K103" s="9">
        <f t="shared" si="37"/>
        <v>1.560494284789371E-2</v>
      </c>
    </row>
    <row r="104" spans="4:11" x14ac:dyDescent="0.25">
      <c r="D104" s="1">
        <v>98</v>
      </c>
      <c r="E104" s="5">
        <v>43</v>
      </c>
      <c r="F104" s="7">
        <f t="shared" si="33"/>
        <v>118.32000646320282</v>
      </c>
      <c r="G104" s="10">
        <f t="shared" si="34"/>
        <v>0.19052787402005955</v>
      </c>
      <c r="H104" s="7">
        <f t="shared" si="35"/>
        <v>0.36342121070938987</v>
      </c>
      <c r="I104" s="16">
        <f t="shared" si="32"/>
        <v>43.036701781676818</v>
      </c>
      <c r="J104" s="9">
        <f t="shared" si="36"/>
        <v>-3.6701781676818257E-2</v>
      </c>
      <c r="K104" s="9">
        <f t="shared" si="37"/>
        <v>3.6701781676818257E-2</v>
      </c>
    </row>
    <row r="105" spans="4:11" x14ac:dyDescent="0.25">
      <c r="D105" s="1">
        <v>99</v>
      </c>
      <c r="E105" s="5">
        <v>38</v>
      </c>
      <c r="F105" s="7">
        <f t="shared" si="33"/>
        <v>19.01202804686065</v>
      </c>
      <c r="G105" s="10">
        <f t="shared" si="34"/>
        <v>-6.8178088377780943E-2</v>
      </c>
      <c r="H105" s="7">
        <f t="shared" si="35"/>
        <v>1.9987346908145724</v>
      </c>
      <c r="I105" s="16">
        <f t="shared" si="32"/>
        <v>38.037132618454635</v>
      </c>
      <c r="J105" s="9">
        <f t="shared" si="36"/>
        <v>-3.713261845463478E-2</v>
      </c>
      <c r="K105" s="9">
        <f t="shared" si="37"/>
        <v>3.713261845463478E-2</v>
      </c>
    </row>
    <row r="106" spans="4:11" x14ac:dyDescent="0.25">
      <c r="D106" s="1">
        <v>100</v>
      </c>
      <c r="E106" s="5">
        <v>66</v>
      </c>
      <c r="F106" s="7">
        <f t="shared" si="33"/>
        <v>128.2602402227449</v>
      </c>
      <c r="G106" s="10">
        <f t="shared" si="34"/>
        <v>0.21605534389750547</v>
      </c>
      <c r="H106" s="7">
        <f t="shared" si="35"/>
        <v>0.51457879608973289</v>
      </c>
      <c r="I106" s="16">
        <f t="shared" si="32"/>
        <v>66.062131299786742</v>
      </c>
      <c r="J106" s="9">
        <f t="shared" si="36"/>
        <v>-6.2131299786742034E-2</v>
      </c>
      <c r="K106" s="9">
        <f t="shared" si="37"/>
        <v>6.2131299786742034E-2</v>
      </c>
    </row>
    <row r="107" spans="4:11" x14ac:dyDescent="0.25">
      <c r="D107" s="1">
        <v>101</v>
      </c>
      <c r="E107" s="5">
        <v>32</v>
      </c>
      <c r="F107" s="7">
        <f t="shared" si="33"/>
        <v>41.032903584996781</v>
      </c>
      <c r="G107" s="10">
        <f t="shared" si="34"/>
        <v>-1.1306128363455514E-2</v>
      </c>
      <c r="H107" s="7">
        <f t="shared" si="35"/>
        <v>0.77986194502941386</v>
      </c>
      <c r="I107" s="16">
        <f t="shared" si="32"/>
        <v>32.050679295502903</v>
      </c>
      <c r="J107" s="9">
        <f t="shared" si="36"/>
        <v>-5.0679295502902733E-2</v>
      </c>
      <c r="K107" s="9">
        <f t="shared" si="37"/>
        <v>5.0679295502902733E-2</v>
      </c>
    </row>
    <row r="108" spans="4:11" x14ac:dyDescent="0.25">
      <c r="D108" s="1">
        <v>102</v>
      </c>
      <c r="E108" s="5">
        <v>59</v>
      </c>
      <c r="F108" s="7">
        <f t="shared" si="33"/>
        <v>152.15158057943944</v>
      </c>
      <c r="G108" s="10">
        <f t="shared" si="34"/>
        <v>0.27764282481119285</v>
      </c>
      <c r="H108" s="7">
        <f t="shared" si="35"/>
        <v>0.38777119353811557</v>
      </c>
      <c r="I108" s="16">
        <f t="shared" si="32"/>
        <v>59.070079717327701</v>
      </c>
      <c r="J108" s="9">
        <f t="shared" si="36"/>
        <v>-7.0079717327701019E-2</v>
      </c>
      <c r="K108" s="9">
        <f t="shared" si="37"/>
        <v>7.0079717327701019E-2</v>
      </c>
    </row>
    <row r="109" spans="4:11" x14ac:dyDescent="0.25">
      <c r="D109" s="1">
        <v>103</v>
      </c>
      <c r="E109" s="5">
        <v>26</v>
      </c>
      <c r="F109" s="7">
        <f t="shared" si="33"/>
        <v>38.295983262737884</v>
      </c>
      <c r="G109" s="10">
        <f t="shared" si="34"/>
        <v>-1.9114893804468291E-2</v>
      </c>
      <c r="H109" s="7">
        <f t="shared" si="35"/>
        <v>0.67892237735799521</v>
      </c>
      <c r="I109" s="16">
        <f t="shared" si="32"/>
        <v>26.054662520174393</v>
      </c>
      <c r="J109" s="9">
        <f t="shared" si="36"/>
        <v>-5.4662520174392881E-2</v>
      </c>
      <c r="K109" s="9">
        <f t="shared" si="37"/>
        <v>5.4662520174392881E-2</v>
      </c>
    </row>
    <row r="110" spans="4:11" x14ac:dyDescent="0.25">
      <c r="D110" s="1">
        <v>104</v>
      </c>
      <c r="E110" s="20">
        <v>14.172013</v>
      </c>
      <c r="F110" s="7">
        <f t="shared" si="33"/>
        <v>11.55923532568857</v>
      </c>
      <c r="G110" s="10">
        <f t="shared" si="34"/>
        <v>-8.8583383605450594E-2</v>
      </c>
      <c r="H110" s="7">
        <f t="shared" si="35"/>
        <v>1.2260337817074236</v>
      </c>
      <c r="I110" s="16">
        <f t="shared" si="32"/>
        <v>14.091779059527113</v>
      </c>
      <c r="J110" s="9">
        <f t="shared" si="36"/>
        <v>8.02339404728869E-2</v>
      </c>
      <c r="K110" s="9">
        <f t="shared" si="37"/>
        <v>8.02339404728869E-2</v>
      </c>
    </row>
  </sheetData>
  <mergeCells count="3">
    <mergeCell ref="C7:C32"/>
    <mergeCell ref="C33:C58"/>
    <mergeCell ref="C59:C84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110"/>
  <sheetViews>
    <sheetView zoomScale="70" zoomScaleNormal="70" workbookViewId="0">
      <selection activeCell="X3" sqref="X3"/>
    </sheetView>
  </sheetViews>
  <sheetFormatPr defaultRowHeight="15" x14ac:dyDescent="0.25"/>
  <cols>
    <col min="1" max="8" width="9.140625" style="1"/>
    <col min="9" max="9" width="9.140625" style="16"/>
    <col min="10" max="16384" width="9.140625" style="1"/>
  </cols>
  <sheetData>
    <row r="2" spans="3:22" x14ac:dyDescent="0.25">
      <c r="O2" s="8" t="s">
        <v>8</v>
      </c>
      <c r="P2" s="8">
        <v>0.99999999999999989</v>
      </c>
      <c r="U2" s="13" t="s">
        <v>17</v>
      </c>
      <c r="V2" s="13">
        <v>0</v>
      </c>
    </row>
    <row r="3" spans="3:22" x14ac:dyDescent="0.25">
      <c r="O3" s="8" t="s">
        <v>9</v>
      </c>
      <c r="P3" s="8">
        <v>0</v>
      </c>
      <c r="Q3" s="1" t="s">
        <v>11</v>
      </c>
      <c r="R3" s="1">
        <f>SUM(K21:K84)</f>
        <v>1.271899252586195E-14</v>
      </c>
      <c r="U3" s="13" t="s">
        <v>18</v>
      </c>
      <c r="V3" s="13">
        <v>11.09902013046594</v>
      </c>
    </row>
    <row r="4" spans="3:22" x14ac:dyDescent="0.25">
      <c r="O4" s="8" t="s">
        <v>10</v>
      </c>
      <c r="P4" s="8">
        <v>1</v>
      </c>
      <c r="U4" s="1" t="s">
        <v>20</v>
      </c>
      <c r="V4" s="1">
        <f>SUM(Q7:Q70)</f>
        <v>3097.6766304787629</v>
      </c>
    </row>
    <row r="5" spans="3:22" x14ac:dyDescent="0.25">
      <c r="V5" s="1">
        <f>COUNT($P$2:$P$4)</f>
        <v>3</v>
      </c>
    </row>
    <row r="6" spans="3:22" x14ac:dyDescent="0.25">
      <c r="D6" s="1" t="s">
        <v>7</v>
      </c>
      <c r="E6" s="2" t="s">
        <v>0</v>
      </c>
      <c r="F6" s="1" t="s">
        <v>1</v>
      </c>
      <c r="G6" s="1" t="s">
        <v>4</v>
      </c>
      <c r="H6" s="1" t="s">
        <v>2</v>
      </c>
      <c r="I6" s="16" t="s">
        <v>3</v>
      </c>
      <c r="J6" s="1" t="s">
        <v>5</v>
      </c>
      <c r="K6" s="1" t="s">
        <v>6</v>
      </c>
      <c r="L6" s="1" t="s">
        <v>15</v>
      </c>
      <c r="O6" s="8" t="s">
        <v>16</v>
      </c>
      <c r="P6" s="1" t="s">
        <v>19</v>
      </c>
      <c r="Q6" s="1" t="s">
        <v>11</v>
      </c>
    </row>
    <row r="7" spans="3:22" x14ac:dyDescent="0.25">
      <c r="C7" s="27" t="s">
        <v>21</v>
      </c>
      <c r="D7" s="1">
        <v>1</v>
      </c>
      <c r="E7" s="20">
        <v>24.043478</v>
      </c>
      <c r="F7" s="3"/>
      <c r="G7" s="3"/>
      <c r="H7" s="3">
        <f t="shared" ref="H7:H21" si="0">E7/$A$44</f>
        <v>2.1294430595314644</v>
      </c>
      <c r="J7" s="3"/>
      <c r="K7" s="3"/>
      <c r="L7" s="3"/>
      <c r="M7" s="14">
        <f t="shared" ref="M7:M38" si="1">AVERAGE(E7:E21)</f>
        <v>11.290970139999997</v>
      </c>
      <c r="N7" s="14"/>
      <c r="O7" s="1">
        <f>$V$2*D7+$V$3</f>
        <v>11.09902013046594</v>
      </c>
      <c r="P7" s="1">
        <f t="shared" ref="P7:P39" si="2">E7-O7</f>
        <v>12.944457869534061</v>
      </c>
      <c r="Q7" s="1">
        <f>P7*P7</f>
        <v>167.55898953614226</v>
      </c>
    </row>
    <row r="8" spans="3:22" x14ac:dyDescent="0.25">
      <c r="C8" s="27"/>
      <c r="D8" s="1">
        <v>2</v>
      </c>
      <c r="E8" s="20">
        <v>2.3333333000000001</v>
      </c>
      <c r="F8" s="3"/>
      <c r="G8" s="3"/>
      <c r="H8" s="3">
        <f t="shared" si="0"/>
        <v>0.20665481097446253</v>
      </c>
      <c r="J8" s="3"/>
      <c r="K8" s="3"/>
      <c r="L8" s="3"/>
      <c r="M8" s="14">
        <f t="shared" si="1"/>
        <v>10.44097860666667</v>
      </c>
      <c r="N8" s="14"/>
      <c r="O8" s="1">
        <f t="shared" ref="O8:O70" si="3">$V$2*D8+$V$3</f>
        <v>11.09902013046594</v>
      </c>
      <c r="P8" s="1">
        <f t="shared" si="2"/>
        <v>-8.7656868304659401</v>
      </c>
      <c r="Q8" s="1">
        <f t="shared" ref="Q8:Q70" si="4">P8*P8</f>
        <v>76.837265609804021</v>
      </c>
    </row>
    <row r="9" spans="3:22" x14ac:dyDescent="0.25">
      <c r="C9" s="27"/>
      <c r="D9" s="1">
        <v>3</v>
      </c>
      <c r="E9" s="20">
        <v>6.3913045000000004</v>
      </c>
      <c r="F9" s="3"/>
      <c r="G9" s="3"/>
      <c r="H9" s="3">
        <f t="shared" si="0"/>
        <v>0.56605450379837796</v>
      </c>
      <c r="J9" s="3"/>
      <c r="K9" s="3"/>
      <c r="L9" s="3"/>
      <c r="M9" s="14">
        <f t="shared" si="1"/>
        <v>10.895888186666667</v>
      </c>
      <c r="N9" s="14"/>
      <c r="O9" s="1">
        <f t="shared" si="3"/>
        <v>11.09902013046594</v>
      </c>
      <c r="P9" s="1">
        <f t="shared" si="2"/>
        <v>-4.7077156304659393</v>
      </c>
      <c r="Q9" s="1">
        <f t="shared" si="4"/>
        <v>22.162586457333315</v>
      </c>
    </row>
    <row r="10" spans="3:22" x14ac:dyDescent="0.25">
      <c r="C10" s="27"/>
      <c r="D10" s="1">
        <v>4</v>
      </c>
      <c r="E10" s="20">
        <v>11.362318999999999</v>
      </c>
      <c r="F10" s="3"/>
      <c r="G10" s="3"/>
      <c r="H10" s="3">
        <f t="shared" si="0"/>
        <v>1.0063191080230776</v>
      </c>
      <c r="J10" s="3"/>
      <c r="K10" s="3"/>
      <c r="L10" s="3"/>
      <c r="M10" s="14">
        <f t="shared" si="1"/>
        <v>11.127746953333334</v>
      </c>
      <c r="N10" s="14"/>
      <c r="O10" s="1">
        <f t="shared" si="3"/>
        <v>11.09902013046594</v>
      </c>
      <c r="P10" s="1">
        <f t="shared" si="2"/>
        <v>0.26329886953405968</v>
      </c>
      <c r="Q10" s="1">
        <f t="shared" si="4"/>
        <v>6.9326294697913779E-2</v>
      </c>
    </row>
    <row r="11" spans="3:22" x14ac:dyDescent="0.25">
      <c r="C11" s="27"/>
      <c r="D11" s="1">
        <v>5</v>
      </c>
      <c r="E11" s="20">
        <v>11.057971</v>
      </c>
      <c r="F11" s="3"/>
      <c r="G11" s="3"/>
      <c r="H11" s="3">
        <f t="shared" si="0"/>
        <v>0.97936411689066805</v>
      </c>
      <c r="J11" s="3"/>
      <c r="K11" s="3"/>
      <c r="L11" s="3"/>
      <c r="M11" s="14">
        <f t="shared" si="1"/>
        <v>11.285956686666667</v>
      </c>
      <c r="N11" s="14"/>
      <c r="O11" s="1">
        <f t="shared" si="3"/>
        <v>11.09902013046594</v>
      </c>
      <c r="P11" s="1">
        <f t="shared" si="2"/>
        <v>-4.1049130465939498E-2</v>
      </c>
      <c r="Q11" s="1">
        <f t="shared" si="4"/>
        <v>1.6850311120097223E-3</v>
      </c>
    </row>
    <row r="12" spans="3:22" x14ac:dyDescent="0.25">
      <c r="C12" s="27"/>
      <c r="D12" s="1">
        <v>6</v>
      </c>
      <c r="E12" s="20">
        <v>14.304347999999999</v>
      </c>
      <c r="F12" s="3"/>
      <c r="G12" s="3"/>
      <c r="H12" s="3">
        <f t="shared" si="0"/>
        <v>1.2668838746924542</v>
      </c>
      <c r="J12" s="3"/>
      <c r="K12" s="3"/>
      <c r="L12" s="3"/>
      <c r="M12" s="14">
        <f t="shared" si="1"/>
        <v>11.132091953333333</v>
      </c>
      <c r="N12" s="14"/>
      <c r="O12" s="1">
        <f t="shared" si="3"/>
        <v>11.09902013046594</v>
      </c>
      <c r="P12" s="1">
        <f t="shared" si="2"/>
        <v>3.2053278695340595</v>
      </c>
      <c r="Q12" s="1">
        <f t="shared" si="4"/>
        <v>10.274126751211753</v>
      </c>
    </row>
    <row r="13" spans="3:22" x14ac:dyDescent="0.25">
      <c r="C13" s="27"/>
      <c r="D13" s="1">
        <v>7</v>
      </c>
      <c r="E13" s="20">
        <v>18.057971999999999</v>
      </c>
      <c r="F13" s="3"/>
      <c r="G13" s="3"/>
      <c r="H13" s="3">
        <f t="shared" si="0"/>
        <v>1.5993286472370394</v>
      </c>
      <c r="J13" s="3"/>
      <c r="K13" s="3"/>
      <c r="L13" s="3"/>
      <c r="M13" s="14">
        <f t="shared" si="1"/>
        <v>10.476307060000002</v>
      </c>
      <c r="N13" s="14"/>
      <c r="O13" s="1">
        <f t="shared" si="3"/>
        <v>11.09902013046594</v>
      </c>
      <c r="P13" s="1">
        <f t="shared" si="2"/>
        <v>6.9589518695340598</v>
      </c>
      <c r="Q13" s="1">
        <f t="shared" si="4"/>
        <v>48.427011122491585</v>
      </c>
    </row>
    <row r="14" spans="3:22" x14ac:dyDescent="0.25">
      <c r="C14" s="27"/>
      <c r="D14" s="1">
        <v>8</v>
      </c>
      <c r="E14" s="20">
        <v>7.8115940000000004</v>
      </c>
      <c r="F14" s="3"/>
      <c r="G14" s="3"/>
      <c r="H14" s="3">
        <f t="shared" si="0"/>
        <v>0.69184435908888187</v>
      </c>
      <c r="J14" s="3"/>
      <c r="K14" s="3"/>
      <c r="L14" s="3"/>
      <c r="M14" s="14">
        <f t="shared" si="1"/>
        <v>10.743020260000002</v>
      </c>
      <c r="N14" s="14"/>
      <c r="O14" s="1">
        <f t="shared" si="3"/>
        <v>11.09902013046594</v>
      </c>
      <c r="P14" s="1">
        <f t="shared" si="2"/>
        <v>-3.2874261304659393</v>
      </c>
      <c r="Q14" s="1">
        <f t="shared" si="4"/>
        <v>10.80717056327026</v>
      </c>
    </row>
    <row r="15" spans="3:22" x14ac:dyDescent="0.25">
      <c r="C15" s="27"/>
      <c r="D15" s="1">
        <v>9</v>
      </c>
      <c r="E15" s="20">
        <v>16.130434000000001</v>
      </c>
      <c r="F15" s="3"/>
      <c r="G15" s="3"/>
      <c r="H15" s="3">
        <f t="shared" si="0"/>
        <v>1.4286136443542137</v>
      </c>
      <c r="J15" s="3"/>
      <c r="K15" s="3"/>
      <c r="L15" s="3"/>
      <c r="M15" s="14">
        <f t="shared" si="1"/>
        <v>10.545842526666666</v>
      </c>
      <c r="N15" s="14"/>
      <c r="O15" s="1">
        <f t="shared" si="3"/>
        <v>11.09902013046594</v>
      </c>
      <c r="P15" s="1">
        <f t="shared" si="2"/>
        <v>5.0314138695340613</v>
      </c>
      <c r="Q15" s="1">
        <f t="shared" si="4"/>
        <v>25.315125526539717</v>
      </c>
    </row>
    <row r="16" spans="3:22" x14ac:dyDescent="0.25">
      <c r="C16" s="27"/>
      <c r="D16" s="1">
        <v>10</v>
      </c>
      <c r="E16" s="20">
        <v>7.1014495000000002</v>
      </c>
      <c r="F16" s="3"/>
      <c r="G16" s="3"/>
      <c r="H16" s="3">
        <f t="shared" si="0"/>
        <v>0.62894945358521703</v>
      </c>
      <c r="J16" s="3"/>
      <c r="K16" s="3"/>
      <c r="L16" s="3"/>
      <c r="M16" s="14">
        <f t="shared" si="1"/>
        <v>10.39036046</v>
      </c>
      <c r="N16" s="14"/>
      <c r="O16" s="1">
        <f t="shared" si="3"/>
        <v>11.09902013046594</v>
      </c>
      <c r="P16" s="1">
        <f t="shared" si="2"/>
        <v>-3.9975706304659395</v>
      </c>
      <c r="Q16" s="1">
        <f t="shared" si="4"/>
        <v>15.98057094556385</v>
      </c>
    </row>
    <row r="17" spans="3:17" x14ac:dyDescent="0.25">
      <c r="C17" s="27"/>
      <c r="D17" s="1">
        <v>11</v>
      </c>
      <c r="E17" s="20">
        <v>10.174417999999999</v>
      </c>
      <c r="F17" s="3"/>
      <c r="G17" s="3"/>
      <c r="H17" s="3">
        <f t="shared" si="0"/>
        <v>0.90111105368665889</v>
      </c>
      <c r="J17" s="3"/>
      <c r="K17" s="3"/>
      <c r="L17" s="3"/>
      <c r="M17" s="14">
        <f t="shared" si="1"/>
        <v>11.887413493333334</v>
      </c>
      <c r="N17" s="14"/>
      <c r="O17" s="1">
        <f t="shared" si="3"/>
        <v>11.09902013046594</v>
      </c>
      <c r="P17" s="1">
        <f t="shared" si="2"/>
        <v>-0.92460213046594042</v>
      </c>
      <c r="Q17" s="1">
        <f t="shared" si="4"/>
        <v>0.85488909966215587</v>
      </c>
    </row>
    <row r="18" spans="3:17" x14ac:dyDescent="0.25">
      <c r="C18" s="27"/>
      <c r="D18" s="1">
        <v>12</v>
      </c>
      <c r="E18" s="20">
        <v>3.2558137999999999</v>
      </c>
      <c r="F18" s="3"/>
      <c r="G18" s="3"/>
      <c r="H18" s="3">
        <f t="shared" si="0"/>
        <v>0.28835554072238478</v>
      </c>
      <c r="J18" s="3"/>
      <c r="K18" s="3"/>
      <c r="L18" s="3"/>
      <c r="M18" s="14">
        <f t="shared" si="1"/>
        <v>11.564577960000001</v>
      </c>
      <c r="N18" s="14"/>
      <c r="O18" s="1">
        <f t="shared" si="3"/>
        <v>11.09902013046594</v>
      </c>
      <c r="P18" s="1">
        <f t="shared" si="2"/>
        <v>-7.8432063304659394</v>
      </c>
      <c r="Q18" s="1">
        <f t="shared" si="4"/>
        <v>61.515885542260989</v>
      </c>
    </row>
    <row r="19" spans="3:17" x14ac:dyDescent="0.25">
      <c r="C19" s="27"/>
      <c r="D19" s="1">
        <v>13</v>
      </c>
      <c r="E19" s="20">
        <v>13.430232999999999</v>
      </c>
      <c r="F19" s="3"/>
      <c r="G19" s="3"/>
      <c r="H19" s="3">
        <f t="shared" si="0"/>
        <v>1.1894667006886623</v>
      </c>
      <c r="J19" s="3"/>
      <c r="K19" s="3"/>
      <c r="L19" s="3"/>
      <c r="M19" s="14">
        <f t="shared" si="1"/>
        <v>12.48085704</v>
      </c>
      <c r="O19" s="1">
        <f t="shared" si="3"/>
        <v>11.09902013046594</v>
      </c>
      <c r="P19" s="1">
        <f t="shared" si="2"/>
        <v>2.3312128695340597</v>
      </c>
      <c r="Q19" s="1">
        <f t="shared" si="4"/>
        <v>5.4345534430812252</v>
      </c>
    </row>
    <row r="20" spans="3:17" x14ac:dyDescent="0.25">
      <c r="C20" s="27"/>
      <c r="D20" s="1">
        <v>14</v>
      </c>
      <c r="E20" s="20">
        <v>14.040698000000001</v>
      </c>
      <c r="F20" s="3"/>
      <c r="G20" s="3"/>
      <c r="H20" s="3">
        <f t="shared" si="0"/>
        <v>1.2435333568245539</v>
      </c>
      <c r="J20" s="3"/>
      <c r="K20" s="3"/>
      <c r="L20" s="3"/>
      <c r="M20" s="14">
        <f t="shared" si="1"/>
        <v>12.118841506666666</v>
      </c>
      <c r="O20" s="1">
        <f t="shared" si="3"/>
        <v>11.09902013046594</v>
      </c>
      <c r="P20" s="1">
        <f t="shared" si="2"/>
        <v>2.9416778695340611</v>
      </c>
      <c r="Q20" s="1">
        <f t="shared" si="4"/>
        <v>8.653468688106452</v>
      </c>
    </row>
    <row r="21" spans="3:17" x14ac:dyDescent="0.25">
      <c r="C21" s="27"/>
      <c r="D21" s="1">
        <v>15</v>
      </c>
      <c r="E21" s="20">
        <v>9.8691859999999991</v>
      </c>
      <c r="F21" s="3">
        <f>V3</f>
        <v>11.09902013046594</v>
      </c>
      <c r="G21" s="3">
        <f>V2</f>
        <v>0</v>
      </c>
      <c r="H21" s="3">
        <f t="shared" si="0"/>
        <v>0.87407776990188746</v>
      </c>
      <c r="J21" s="7"/>
      <c r="K21" s="7"/>
      <c r="L21" s="3"/>
      <c r="M21" s="14">
        <f t="shared" si="1"/>
        <v>11.916128306666666</v>
      </c>
      <c r="O21" s="1">
        <f t="shared" si="3"/>
        <v>11.09902013046594</v>
      </c>
      <c r="P21" s="1">
        <f t="shared" si="2"/>
        <v>-1.2298341304659406</v>
      </c>
      <c r="Q21" s="1">
        <f t="shared" si="4"/>
        <v>1.5124919884589161</v>
      </c>
    </row>
    <row r="22" spans="3:17" x14ac:dyDescent="0.25">
      <c r="C22" s="27"/>
      <c r="D22" s="1">
        <v>16</v>
      </c>
      <c r="E22" s="20">
        <v>11.293604999999999</v>
      </c>
      <c r="F22" s="6">
        <f t="shared" ref="F22:F53" si="5">$P$2*(E22/H7)+(1-$P$2)*(F21+G21)</f>
        <v>5.3035487140402342</v>
      </c>
      <c r="G22" s="11">
        <f>$P$3*(F22-F21)+(1-$P$3)*G21</f>
        <v>0</v>
      </c>
      <c r="H22" s="6">
        <f t="shared" ref="H22:H53" si="6">$P$4*(E22/F22)+(1-$P$4)*H7</f>
        <v>2.1294430595314644</v>
      </c>
      <c r="I22" s="16">
        <f>(F22+(G22))*H7</f>
        <v>11.293604999999999</v>
      </c>
      <c r="J22" s="7">
        <f t="shared" ref="J22:J53" si="7">E22-I22</f>
        <v>0</v>
      </c>
      <c r="K22" s="7">
        <f t="shared" ref="K22:K23" si="8">ABS(J22)</f>
        <v>0</v>
      </c>
      <c r="L22" s="3"/>
      <c r="M22" s="14">
        <f t="shared" si="1"/>
        <v>11.324849239999999</v>
      </c>
      <c r="O22" s="1">
        <f t="shared" si="3"/>
        <v>11.09902013046594</v>
      </c>
      <c r="P22" s="1">
        <f t="shared" si="2"/>
        <v>0.19458486953405973</v>
      </c>
      <c r="Q22" s="1">
        <f t="shared" si="4"/>
        <v>3.7863271451587049E-2</v>
      </c>
    </row>
    <row r="23" spans="3:17" x14ac:dyDescent="0.25">
      <c r="C23" s="27"/>
      <c r="D23" s="1">
        <v>17</v>
      </c>
      <c r="E23" s="20">
        <v>9.1569769999999995</v>
      </c>
      <c r="F23" s="6">
        <f t="shared" si="5"/>
        <v>44.310495152864242</v>
      </c>
      <c r="G23" s="11">
        <f t="shared" ref="G23:G86" si="9">$P$3*(F23-F22)+(1-$P$3)*G22</f>
        <v>0</v>
      </c>
      <c r="H23" s="6">
        <f t="shared" si="6"/>
        <v>0.20665481097446256</v>
      </c>
      <c r="I23" s="16">
        <f t="shared" ref="I23:I86" si="10">(F23+(G23))*H8</f>
        <v>9.1569769999999977</v>
      </c>
      <c r="J23" s="7">
        <f t="shared" si="7"/>
        <v>0</v>
      </c>
      <c r="K23" s="7">
        <f t="shared" si="8"/>
        <v>0</v>
      </c>
      <c r="L23" s="3"/>
      <c r="M23" s="14">
        <f t="shared" si="1"/>
        <v>11.238608906666665</v>
      </c>
      <c r="O23" s="1">
        <f t="shared" si="3"/>
        <v>11.09902013046594</v>
      </c>
      <c r="P23" s="1">
        <f t="shared" si="2"/>
        <v>-1.9420431304659402</v>
      </c>
      <c r="Q23" s="1">
        <f t="shared" si="4"/>
        <v>3.7715315205899489</v>
      </c>
    </row>
    <row r="24" spans="3:17" x14ac:dyDescent="0.25">
      <c r="C24" s="27"/>
      <c r="D24" s="1">
        <v>18</v>
      </c>
      <c r="E24" s="20">
        <v>9.8691859999999991</v>
      </c>
      <c r="F24" s="6">
        <f t="shared" si="5"/>
        <v>17.435045448406658</v>
      </c>
      <c r="G24" s="11">
        <f t="shared" si="9"/>
        <v>0</v>
      </c>
      <c r="H24" s="6">
        <f t="shared" si="6"/>
        <v>0.56605450379837796</v>
      </c>
      <c r="I24" s="16">
        <f t="shared" si="10"/>
        <v>9.8691859999999991</v>
      </c>
      <c r="J24" s="7">
        <f t="shared" si="7"/>
        <v>0</v>
      </c>
      <c r="K24" s="7">
        <f>ABS(J24)</f>
        <v>0</v>
      </c>
      <c r="M24" s="14">
        <f t="shared" si="1"/>
        <v>11.361477106666666</v>
      </c>
      <c r="O24" s="1">
        <f t="shared" si="3"/>
        <v>11.09902013046594</v>
      </c>
      <c r="P24" s="1">
        <f t="shared" si="2"/>
        <v>-1.2298341304659406</v>
      </c>
      <c r="Q24" s="1">
        <f t="shared" si="4"/>
        <v>1.5124919884589161</v>
      </c>
    </row>
    <row r="25" spans="3:17" x14ac:dyDescent="0.25">
      <c r="C25" s="27"/>
      <c r="D25" s="1">
        <v>19</v>
      </c>
      <c r="E25" s="20">
        <v>13.735465</v>
      </c>
      <c r="F25" s="6">
        <f t="shared" si="5"/>
        <v>13.64921414141031</v>
      </c>
      <c r="G25" s="11">
        <f t="shared" si="9"/>
        <v>0</v>
      </c>
      <c r="H25" s="6">
        <f t="shared" si="6"/>
        <v>1.0063191080230776</v>
      </c>
      <c r="I25" s="16">
        <f t="shared" si="10"/>
        <v>13.735465</v>
      </c>
      <c r="J25" s="7">
        <f t="shared" si="7"/>
        <v>0</v>
      </c>
      <c r="K25" s="7">
        <f t="shared" ref="K25:K88" si="11">ABS(J25)</f>
        <v>0</v>
      </c>
      <c r="M25" s="14">
        <f t="shared" si="1"/>
        <v>10.77019804</v>
      </c>
      <c r="O25" s="1">
        <f t="shared" si="3"/>
        <v>11.09902013046594</v>
      </c>
      <c r="P25" s="1">
        <f t="shared" si="2"/>
        <v>2.6364448695340599</v>
      </c>
      <c r="Q25" s="1">
        <f t="shared" si="4"/>
        <v>6.9508415500924663</v>
      </c>
    </row>
    <row r="26" spans="3:17" x14ac:dyDescent="0.25">
      <c r="C26" s="27"/>
      <c r="D26" s="1">
        <v>20</v>
      </c>
      <c r="E26" s="20">
        <v>8.75</v>
      </c>
      <c r="F26" s="6">
        <f t="shared" si="5"/>
        <v>8.9343685857920931</v>
      </c>
      <c r="G26" s="11">
        <f t="shared" si="9"/>
        <v>0</v>
      </c>
      <c r="H26" s="6">
        <f t="shared" si="6"/>
        <v>0.97936411689066805</v>
      </c>
      <c r="I26" s="16">
        <f t="shared" si="10"/>
        <v>8.75</v>
      </c>
      <c r="J26" s="7">
        <f t="shared" si="7"/>
        <v>0</v>
      </c>
      <c r="K26" s="7">
        <f t="shared" si="11"/>
        <v>0</v>
      </c>
      <c r="M26" s="14">
        <f t="shared" si="1"/>
        <v>11.92116704</v>
      </c>
      <c r="O26" s="1">
        <f t="shared" si="3"/>
        <v>11.09902013046594</v>
      </c>
      <c r="P26" s="1">
        <f t="shared" si="2"/>
        <v>-2.3490201304659397</v>
      </c>
      <c r="Q26" s="1">
        <f t="shared" si="4"/>
        <v>5.5178955733342203</v>
      </c>
    </row>
    <row r="27" spans="3:17" x14ac:dyDescent="0.25">
      <c r="C27" s="27"/>
      <c r="D27" s="1">
        <v>21</v>
      </c>
      <c r="E27" s="20">
        <v>4.4675745999999998</v>
      </c>
      <c r="F27" s="6">
        <f t="shared" si="5"/>
        <v>3.526427867024938</v>
      </c>
      <c r="G27" s="11">
        <f t="shared" si="9"/>
        <v>0</v>
      </c>
      <c r="H27" s="6">
        <f t="shared" si="6"/>
        <v>1.266883874692454</v>
      </c>
      <c r="I27" s="16">
        <f t="shared" si="10"/>
        <v>4.4675745999999998</v>
      </c>
      <c r="J27" s="7">
        <f t="shared" si="7"/>
        <v>0</v>
      </c>
      <c r="K27" s="7">
        <f t="shared" si="11"/>
        <v>0</v>
      </c>
      <c r="M27" s="14">
        <f t="shared" si="1"/>
        <v>12.071167040000001</v>
      </c>
      <c r="O27" s="1">
        <f t="shared" si="3"/>
        <v>11.09902013046594</v>
      </c>
      <c r="P27" s="1">
        <f t="shared" si="2"/>
        <v>-6.6314455304659399</v>
      </c>
      <c r="Q27" s="1">
        <f t="shared" si="4"/>
        <v>43.97606982353669</v>
      </c>
    </row>
    <row r="28" spans="3:17" x14ac:dyDescent="0.25">
      <c r="C28" s="27"/>
      <c r="D28" s="1">
        <v>22</v>
      </c>
      <c r="E28" s="20">
        <v>22.058669999999999</v>
      </c>
      <c r="F28" s="6">
        <f t="shared" si="5"/>
        <v>13.792456002153159</v>
      </c>
      <c r="G28" s="11">
        <f t="shared" si="9"/>
        <v>0</v>
      </c>
      <c r="H28" s="6">
        <f t="shared" si="6"/>
        <v>1.5993286472370396</v>
      </c>
      <c r="I28" s="16">
        <f t="shared" si="10"/>
        <v>22.058669999999996</v>
      </c>
      <c r="J28" s="7">
        <f t="shared" si="7"/>
        <v>0</v>
      </c>
      <c r="K28" s="7">
        <f t="shared" si="11"/>
        <v>0</v>
      </c>
      <c r="M28" s="14">
        <f t="shared" si="1"/>
        <v>12.2399954</v>
      </c>
      <c r="O28" s="1">
        <f t="shared" si="3"/>
        <v>11.09902013046594</v>
      </c>
      <c r="P28" s="1">
        <f t="shared" si="2"/>
        <v>10.95964986953406</v>
      </c>
      <c r="Q28" s="1">
        <f t="shared" si="4"/>
        <v>120.11392526277793</v>
      </c>
    </row>
    <row r="29" spans="3:17" x14ac:dyDescent="0.25">
      <c r="C29" s="27"/>
      <c r="D29" s="1">
        <v>23</v>
      </c>
      <c r="E29" s="20">
        <v>4.8539279999999998</v>
      </c>
      <c r="F29" s="6">
        <f t="shared" si="5"/>
        <v>7.0159248048106324</v>
      </c>
      <c r="G29" s="11">
        <f t="shared" si="9"/>
        <v>0</v>
      </c>
      <c r="H29" s="6">
        <f t="shared" si="6"/>
        <v>0.69184435908888176</v>
      </c>
      <c r="I29" s="16">
        <f t="shared" si="10"/>
        <v>4.8539280000000007</v>
      </c>
      <c r="J29" s="7">
        <f t="shared" si="7"/>
        <v>0</v>
      </c>
      <c r="K29" s="7">
        <f t="shared" si="11"/>
        <v>0</v>
      </c>
      <c r="M29" s="14">
        <f t="shared" si="1"/>
        <v>11.302750733333335</v>
      </c>
      <c r="O29" s="1">
        <f t="shared" si="3"/>
        <v>11.09902013046594</v>
      </c>
      <c r="P29" s="1">
        <f t="shared" si="2"/>
        <v>-6.2450921304659399</v>
      </c>
      <c r="Q29" s="1">
        <f t="shared" si="4"/>
        <v>39.001175718007609</v>
      </c>
    </row>
    <row r="30" spans="3:17" x14ac:dyDescent="0.25">
      <c r="C30" s="27"/>
      <c r="D30" s="1">
        <v>24</v>
      </c>
      <c r="E30" s="20">
        <v>13.798203000000001</v>
      </c>
      <c r="F30" s="6">
        <f t="shared" si="5"/>
        <v>9.6584566824834557</v>
      </c>
      <c r="G30" s="11">
        <f t="shared" si="9"/>
        <v>0</v>
      </c>
      <c r="H30" s="6">
        <f t="shared" si="6"/>
        <v>1.4286136443542139</v>
      </c>
      <c r="I30" s="16">
        <f t="shared" si="10"/>
        <v>13.798202999999997</v>
      </c>
      <c r="J30" s="7">
        <f t="shared" si="7"/>
        <v>0</v>
      </c>
      <c r="K30" s="7">
        <f t="shared" si="11"/>
        <v>0</v>
      </c>
      <c r="M30" s="14">
        <f t="shared" si="1"/>
        <v>11.379155533333334</v>
      </c>
      <c r="O30" s="1">
        <f t="shared" si="3"/>
        <v>11.09902013046594</v>
      </c>
      <c r="P30" s="1">
        <f t="shared" si="2"/>
        <v>2.6991828695340612</v>
      </c>
      <c r="Q30" s="1">
        <f t="shared" si="4"/>
        <v>7.2855881631861283</v>
      </c>
    </row>
    <row r="31" spans="3:17" x14ac:dyDescent="0.25">
      <c r="C31" s="27"/>
      <c r="D31" s="1">
        <v>25</v>
      </c>
      <c r="E31" s="20">
        <v>29.557245000000002</v>
      </c>
      <c r="F31" s="6">
        <f t="shared" si="5"/>
        <v>46.994627042783897</v>
      </c>
      <c r="G31" s="11">
        <f t="shared" si="9"/>
        <v>0</v>
      </c>
      <c r="H31" s="6">
        <f t="shared" si="6"/>
        <v>0.62894945358521714</v>
      </c>
      <c r="I31" s="16">
        <f t="shared" si="10"/>
        <v>29.557244999999995</v>
      </c>
      <c r="J31" s="7">
        <f t="shared" si="7"/>
        <v>0</v>
      </c>
      <c r="K31" s="7">
        <f t="shared" si="11"/>
        <v>0</v>
      </c>
      <c r="M31" s="14">
        <f t="shared" si="1"/>
        <v>11.725942</v>
      </c>
      <c r="O31" s="1">
        <f t="shared" si="3"/>
        <v>11.09902013046594</v>
      </c>
      <c r="P31" s="1">
        <f t="shared" si="2"/>
        <v>18.458224869534064</v>
      </c>
      <c r="Q31" s="1">
        <f t="shared" si="4"/>
        <v>340.70606533428582</v>
      </c>
    </row>
    <row r="32" spans="3:17" x14ac:dyDescent="0.25">
      <c r="C32" s="27"/>
      <c r="D32" s="1">
        <v>26</v>
      </c>
      <c r="E32" s="17">
        <v>5.3318849999999998</v>
      </c>
      <c r="F32" s="6">
        <f t="shared" si="5"/>
        <v>5.9170120910025448</v>
      </c>
      <c r="G32" s="11">
        <f t="shared" si="9"/>
        <v>0</v>
      </c>
      <c r="H32" s="6">
        <f t="shared" si="6"/>
        <v>0.90111105368665823</v>
      </c>
      <c r="I32" s="16">
        <f t="shared" si="10"/>
        <v>5.3318850000000042</v>
      </c>
      <c r="J32" s="7">
        <f t="shared" si="7"/>
        <v>0</v>
      </c>
      <c r="K32" s="7">
        <f t="shared" si="11"/>
        <v>0</v>
      </c>
      <c r="M32" s="14">
        <f t="shared" si="1"/>
        <v>9.8221256666666665</v>
      </c>
      <c r="O32" s="1">
        <f t="shared" si="3"/>
        <v>11.09902013046594</v>
      </c>
      <c r="P32" s="1">
        <f t="shared" si="2"/>
        <v>-5.76713513046594</v>
      </c>
      <c r="Q32" s="1">
        <f t="shared" si="4"/>
        <v>33.259847613054397</v>
      </c>
    </row>
    <row r="33" spans="1:17" x14ac:dyDescent="0.25">
      <c r="C33" s="28" t="s">
        <v>22</v>
      </c>
      <c r="D33" s="1">
        <v>27</v>
      </c>
      <c r="E33" s="4">
        <v>17</v>
      </c>
      <c r="F33" s="7">
        <f t="shared" si="5"/>
        <v>58.954996867449836</v>
      </c>
      <c r="G33" s="10">
        <f>$P$3*(F33-F32)+(1-$P$3)*G32</f>
        <v>0</v>
      </c>
      <c r="H33" s="7">
        <f t="shared" si="6"/>
        <v>0.28835554072238478</v>
      </c>
      <c r="I33" s="16">
        <f t="shared" si="10"/>
        <v>17</v>
      </c>
      <c r="J33" s="7">
        <f t="shared" si="7"/>
        <v>0</v>
      </c>
      <c r="K33" s="7">
        <f t="shared" si="11"/>
        <v>0</v>
      </c>
      <c r="M33" s="14">
        <f t="shared" si="1"/>
        <v>11.533333333333333</v>
      </c>
      <c r="O33" s="1">
        <f t="shared" si="3"/>
        <v>11.09902013046594</v>
      </c>
      <c r="P33" s="1">
        <f t="shared" si="2"/>
        <v>5.9009798695340603</v>
      </c>
      <c r="Q33" s="1">
        <f t="shared" si="4"/>
        <v>34.821563420646214</v>
      </c>
    </row>
    <row r="34" spans="1:17" x14ac:dyDescent="0.25">
      <c r="C34" s="28"/>
      <c r="D34" s="1">
        <v>28</v>
      </c>
      <c r="E34" s="5">
        <v>8</v>
      </c>
      <c r="F34" s="7">
        <f t="shared" si="5"/>
        <v>6.7257032041067379</v>
      </c>
      <c r="G34" s="10">
        <f t="shared" si="9"/>
        <v>0</v>
      </c>
      <c r="H34" s="7">
        <f t="shared" si="6"/>
        <v>1.1894667006886614</v>
      </c>
      <c r="I34" s="16">
        <f t="shared" si="10"/>
        <v>8.0000000000000071</v>
      </c>
      <c r="J34" s="7">
        <f t="shared" si="7"/>
        <v>0</v>
      </c>
      <c r="K34" s="7">
        <f t="shared" si="11"/>
        <v>0</v>
      </c>
      <c r="M34" s="14">
        <f t="shared" si="1"/>
        <v>11.066666666666666</v>
      </c>
      <c r="O34" s="1">
        <f t="shared" si="3"/>
        <v>11.09902013046594</v>
      </c>
      <c r="P34" s="1">
        <f t="shared" si="2"/>
        <v>-3.0990201304659397</v>
      </c>
      <c r="Q34" s="1">
        <f t="shared" si="4"/>
        <v>9.6039257690331308</v>
      </c>
    </row>
    <row r="35" spans="1:17" x14ac:dyDescent="0.25">
      <c r="C35" s="28"/>
      <c r="D35" s="1">
        <v>29</v>
      </c>
      <c r="E35" s="5">
        <v>11</v>
      </c>
      <c r="F35" s="7">
        <f t="shared" si="5"/>
        <v>8.8457619087028263</v>
      </c>
      <c r="G35" s="10">
        <f t="shared" si="9"/>
        <v>0</v>
      </c>
      <c r="H35" s="7">
        <f t="shared" si="6"/>
        <v>1.2435333568245541</v>
      </c>
      <c r="I35" s="16">
        <f t="shared" si="10"/>
        <v>10.999999999999998</v>
      </c>
      <c r="J35" s="7">
        <f t="shared" si="7"/>
        <v>0</v>
      </c>
      <c r="K35" s="7">
        <f t="shared" si="11"/>
        <v>0</v>
      </c>
      <c r="M35" s="14">
        <f t="shared" si="1"/>
        <v>11.2</v>
      </c>
      <c r="O35" s="1">
        <f t="shared" si="3"/>
        <v>11.09902013046594</v>
      </c>
      <c r="P35" s="1">
        <f t="shared" si="2"/>
        <v>-9.9020130465939715E-2</v>
      </c>
      <c r="Q35" s="1">
        <f t="shared" si="4"/>
        <v>9.8049862374917224E-3</v>
      </c>
    </row>
    <row r="36" spans="1:17" x14ac:dyDescent="0.25">
      <c r="C36" s="28"/>
      <c r="D36" s="1">
        <v>30</v>
      </c>
      <c r="E36" s="5">
        <v>1</v>
      </c>
      <c r="F36" s="7">
        <f t="shared" si="5"/>
        <v>1.144062959194406</v>
      </c>
      <c r="G36" s="10">
        <f t="shared" si="9"/>
        <v>0</v>
      </c>
      <c r="H36" s="7">
        <f t="shared" si="6"/>
        <v>0.87407776990188701</v>
      </c>
      <c r="I36" s="16">
        <f t="shared" si="10"/>
        <v>1.0000000000000004</v>
      </c>
      <c r="J36" s="7">
        <f t="shared" si="7"/>
        <v>0</v>
      </c>
      <c r="K36" s="7">
        <f t="shared" si="11"/>
        <v>0</v>
      </c>
      <c r="M36" s="14">
        <f t="shared" si="1"/>
        <v>11.2</v>
      </c>
      <c r="O36" s="1">
        <f t="shared" si="3"/>
        <v>11.09902013046594</v>
      </c>
      <c r="P36" s="1">
        <f t="shared" si="2"/>
        <v>-10.09902013046594</v>
      </c>
      <c r="Q36" s="1">
        <f t="shared" si="4"/>
        <v>101.99020759555629</v>
      </c>
    </row>
    <row r="37" spans="1:17" x14ac:dyDescent="0.25">
      <c r="C37" s="28"/>
      <c r="D37" s="1">
        <v>31</v>
      </c>
      <c r="E37" s="5">
        <v>10</v>
      </c>
      <c r="F37" s="7">
        <f t="shared" si="5"/>
        <v>4.6960635811507778</v>
      </c>
      <c r="G37" s="10">
        <f t="shared" si="9"/>
        <v>0</v>
      </c>
      <c r="H37" s="7">
        <f t="shared" si="6"/>
        <v>2.1294430595314648</v>
      </c>
      <c r="I37" s="16">
        <f t="shared" si="10"/>
        <v>9.9999999999999982</v>
      </c>
      <c r="J37" s="7">
        <f t="shared" si="7"/>
        <v>0</v>
      </c>
      <c r="K37" s="7">
        <f t="shared" si="11"/>
        <v>0</v>
      </c>
      <c r="M37" s="14">
        <f t="shared" si="1"/>
        <v>12</v>
      </c>
      <c r="O37" s="1">
        <f t="shared" si="3"/>
        <v>11.09902013046594</v>
      </c>
      <c r="P37" s="1">
        <f t="shared" si="2"/>
        <v>-1.0990201304659397</v>
      </c>
      <c r="Q37" s="1">
        <f t="shared" si="4"/>
        <v>1.2078452471693712</v>
      </c>
    </row>
    <row r="38" spans="1:17" x14ac:dyDescent="0.25">
      <c r="C38" s="28"/>
      <c r="D38" s="1">
        <v>32</v>
      </c>
      <c r="E38" s="5">
        <v>11</v>
      </c>
      <c r="F38" s="7">
        <f t="shared" si="5"/>
        <v>53.228859991840828</v>
      </c>
      <c r="G38" s="10">
        <f t="shared" si="9"/>
        <v>0</v>
      </c>
      <c r="H38" s="7">
        <f t="shared" si="6"/>
        <v>0.20665481097446259</v>
      </c>
      <c r="I38" s="16">
        <f t="shared" si="10"/>
        <v>10.999999999999998</v>
      </c>
      <c r="J38" s="7">
        <f t="shared" si="7"/>
        <v>0</v>
      </c>
      <c r="K38" s="7">
        <f t="shared" si="11"/>
        <v>0</v>
      </c>
      <c r="M38" s="14">
        <f t="shared" si="1"/>
        <v>12</v>
      </c>
      <c r="O38" s="1">
        <f t="shared" si="3"/>
        <v>11.09902013046594</v>
      </c>
      <c r="P38" s="1">
        <f t="shared" si="2"/>
        <v>-9.9020130465939715E-2</v>
      </c>
      <c r="Q38" s="1">
        <f t="shared" si="4"/>
        <v>9.8049862374917224E-3</v>
      </c>
    </row>
    <row r="39" spans="1:17" x14ac:dyDescent="0.25">
      <c r="C39" s="28"/>
      <c r="D39" s="1">
        <v>33</v>
      </c>
      <c r="E39" s="5">
        <v>1</v>
      </c>
      <c r="F39" s="7">
        <f t="shared" si="5"/>
        <v>1.7666143335840176</v>
      </c>
      <c r="G39" s="10">
        <f t="shared" si="9"/>
        <v>0</v>
      </c>
      <c r="H39" s="7">
        <f t="shared" si="6"/>
        <v>0.56605450379837607</v>
      </c>
      <c r="I39" s="16">
        <f t="shared" si="10"/>
        <v>1.0000000000000033</v>
      </c>
      <c r="J39" s="7">
        <f t="shared" si="7"/>
        <v>-3.3306690738754696E-15</v>
      </c>
      <c r="K39" s="7">
        <f t="shared" si="11"/>
        <v>3.3306690738754696E-15</v>
      </c>
      <c r="M39" s="14">
        <f t="shared" ref="M39:M68" si="12">AVERAGE(E39:E53)</f>
        <v>11.270000000000001</v>
      </c>
      <c r="O39" s="1">
        <f t="shared" si="3"/>
        <v>11.09902013046594</v>
      </c>
      <c r="P39" s="1">
        <f t="shared" si="2"/>
        <v>-10.09902013046594</v>
      </c>
      <c r="Q39" s="1">
        <f t="shared" si="4"/>
        <v>101.99020759555629</v>
      </c>
    </row>
    <row r="40" spans="1:17" x14ac:dyDescent="0.25">
      <c r="C40" s="28"/>
      <c r="D40" s="1">
        <v>34</v>
      </c>
      <c r="E40" s="5">
        <v>31</v>
      </c>
      <c r="F40" s="7">
        <f t="shared" si="5"/>
        <v>30.805337743113871</v>
      </c>
      <c r="G40" s="10">
        <f t="shared" si="9"/>
        <v>0</v>
      </c>
      <c r="H40" s="7">
        <f t="shared" si="6"/>
        <v>1.0063191080230778</v>
      </c>
      <c r="I40" s="16">
        <f t="shared" si="10"/>
        <v>30.999999999999996</v>
      </c>
      <c r="J40" s="9">
        <f t="shared" si="7"/>
        <v>0</v>
      </c>
      <c r="K40" s="9">
        <f t="shared" si="11"/>
        <v>0</v>
      </c>
      <c r="M40" s="14">
        <f t="shared" si="12"/>
        <v>11.936666666666667</v>
      </c>
      <c r="O40" s="1">
        <f t="shared" si="3"/>
        <v>11.09902013046594</v>
      </c>
      <c r="P40" s="1">
        <f t="shared" ref="P40:P70" si="13">E40-O40</f>
        <v>19.900979869534062</v>
      </c>
      <c r="Q40" s="1">
        <f t="shared" si="4"/>
        <v>396.04899976759998</v>
      </c>
    </row>
    <row r="41" spans="1:17" x14ac:dyDescent="0.25">
      <c r="C41" s="28"/>
      <c r="D41" s="1">
        <v>35</v>
      </c>
      <c r="E41" s="5">
        <v>11</v>
      </c>
      <c r="F41" s="7">
        <f t="shared" si="5"/>
        <v>11.231777650710061</v>
      </c>
      <c r="G41" s="10">
        <f t="shared" si="9"/>
        <v>0</v>
      </c>
      <c r="H41" s="7">
        <f t="shared" si="6"/>
        <v>0.97936411689066794</v>
      </c>
      <c r="I41" s="16">
        <f t="shared" si="10"/>
        <v>11.000000000000002</v>
      </c>
      <c r="J41" s="9">
        <f t="shared" si="7"/>
        <v>0</v>
      </c>
      <c r="K41" s="9">
        <f t="shared" si="11"/>
        <v>0</v>
      </c>
      <c r="M41" s="14">
        <f t="shared" si="12"/>
        <v>10.603333333333333</v>
      </c>
      <c r="O41" s="1">
        <f t="shared" si="3"/>
        <v>11.09902013046594</v>
      </c>
      <c r="P41" s="1">
        <f t="shared" si="13"/>
        <v>-9.9020130465939715E-2</v>
      </c>
      <c r="Q41" s="1">
        <f t="shared" si="4"/>
        <v>9.8049862374917224E-3</v>
      </c>
    </row>
    <row r="42" spans="1:17" x14ac:dyDescent="0.25">
      <c r="C42" s="28"/>
      <c r="D42" s="1">
        <v>36</v>
      </c>
      <c r="E42" s="5">
        <v>7</v>
      </c>
      <c r="F42" s="7">
        <f t="shared" si="5"/>
        <v>5.5253682992052484</v>
      </c>
      <c r="G42" s="10">
        <f t="shared" si="9"/>
        <v>0</v>
      </c>
      <c r="H42" s="7">
        <f t="shared" si="6"/>
        <v>1.266883874692454</v>
      </c>
      <c r="I42" s="16">
        <f t="shared" si="10"/>
        <v>7</v>
      </c>
      <c r="J42" s="9">
        <f t="shared" si="7"/>
        <v>0</v>
      </c>
      <c r="K42" s="9">
        <f t="shared" si="11"/>
        <v>0</v>
      </c>
      <c r="M42" s="14">
        <f t="shared" si="12"/>
        <v>9.8733333333333348</v>
      </c>
      <c r="O42" s="1">
        <f t="shared" si="3"/>
        <v>11.09902013046594</v>
      </c>
      <c r="P42" s="1">
        <f t="shared" si="13"/>
        <v>-4.0990201304659397</v>
      </c>
      <c r="Q42" s="1">
        <f t="shared" si="4"/>
        <v>16.801966029965008</v>
      </c>
    </row>
    <row r="43" spans="1:17" x14ac:dyDescent="0.25">
      <c r="C43" s="28"/>
      <c r="D43" s="1">
        <v>37</v>
      </c>
      <c r="E43" s="5">
        <v>8</v>
      </c>
      <c r="F43" s="7">
        <f t="shared" si="5"/>
        <v>5.0020988580555983</v>
      </c>
      <c r="G43" s="10">
        <f t="shared" si="9"/>
        <v>0</v>
      </c>
      <c r="H43" s="7">
        <f t="shared" si="6"/>
        <v>1.5993286472370394</v>
      </c>
      <c r="I43" s="16">
        <f t="shared" si="10"/>
        <v>8</v>
      </c>
      <c r="J43" s="9">
        <f t="shared" si="7"/>
        <v>0</v>
      </c>
      <c r="K43" s="9">
        <f t="shared" si="11"/>
        <v>0</v>
      </c>
      <c r="M43" s="14">
        <f t="shared" si="12"/>
        <v>10.140000000000002</v>
      </c>
      <c r="O43" s="1">
        <f t="shared" si="3"/>
        <v>11.09902013046594</v>
      </c>
      <c r="P43" s="1">
        <f t="shared" si="13"/>
        <v>-3.0990201304659397</v>
      </c>
      <c r="Q43" s="1">
        <f t="shared" si="4"/>
        <v>9.6039257690331308</v>
      </c>
    </row>
    <row r="44" spans="1:17" x14ac:dyDescent="0.25">
      <c r="A44" s="1">
        <f>AVERAGE(E7:E21)</f>
        <v>11.290970139999997</v>
      </c>
      <c r="C44" s="28"/>
      <c r="D44" s="1">
        <v>38</v>
      </c>
      <c r="E44" s="5">
        <v>6</v>
      </c>
      <c r="F44" s="7">
        <f t="shared" si="5"/>
        <v>8.6724707966133376</v>
      </c>
      <c r="G44" s="10">
        <f t="shared" si="9"/>
        <v>0</v>
      </c>
      <c r="H44" s="7">
        <f t="shared" si="6"/>
        <v>0.69184435908888198</v>
      </c>
      <c r="I44" s="16">
        <f t="shared" si="10"/>
        <v>5.9999999999999982</v>
      </c>
      <c r="J44" s="9">
        <f t="shared" si="7"/>
        <v>0</v>
      </c>
      <c r="K44" s="9">
        <f t="shared" si="11"/>
        <v>0</v>
      </c>
      <c r="M44" s="14">
        <f t="shared" si="12"/>
        <v>10.806666666666668</v>
      </c>
      <c r="O44" s="1">
        <f t="shared" si="3"/>
        <v>11.09902013046594</v>
      </c>
      <c r="P44" s="1">
        <f t="shared" si="13"/>
        <v>-5.0990201304659397</v>
      </c>
      <c r="Q44" s="1">
        <f t="shared" si="4"/>
        <v>26.000006290896888</v>
      </c>
    </row>
    <row r="45" spans="1:17" x14ac:dyDescent="0.25">
      <c r="C45" s="28"/>
      <c r="D45" s="1">
        <v>39</v>
      </c>
      <c r="E45" s="5">
        <v>19</v>
      </c>
      <c r="F45" s="7">
        <f t="shared" si="5"/>
        <v>13.299606982676343</v>
      </c>
      <c r="G45" s="10">
        <f t="shared" si="9"/>
        <v>0</v>
      </c>
      <c r="H45" s="7">
        <f t="shared" si="6"/>
        <v>1.4286136443542139</v>
      </c>
      <c r="I45" s="16">
        <f t="shared" si="10"/>
        <v>19</v>
      </c>
      <c r="J45" s="9">
        <f t="shared" si="7"/>
        <v>0</v>
      </c>
      <c r="K45" s="9">
        <f t="shared" si="11"/>
        <v>0</v>
      </c>
      <c r="M45" s="14">
        <f t="shared" si="12"/>
        <v>11.073333333333332</v>
      </c>
      <c r="O45" s="1">
        <f t="shared" si="3"/>
        <v>11.09902013046594</v>
      </c>
      <c r="P45" s="1">
        <f t="shared" si="13"/>
        <v>7.9009798695340603</v>
      </c>
      <c r="Q45" s="1">
        <f t="shared" si="4"/>
        <v>62.425482898782455</v>
      </c>
    </row>
    <row r="46" spans="1:17" x14ac:dyDescent="0.25">
      <c r="C46" s="28"/>
      <c r="D46" s="1">
        <v>40</v>
      </c>
      <c r="E46" s="5">
        <v>1</v>
      </c>
      <c r="F46" s="7">
        <f t="shared" si="5"/>
        <v>1.5899528877872053</v>
      </c>
      <c r="G46" s="10">
        <f t="shared" si="9"/>
        <v>0</v>
      </c>
      <c r="H46" s="7">
        <f t="shared" si="6"/>
        <v>0.62894945358521659</v>
      </c>
      <c r="I46" s="16">
        <f t="shared" si="10"/>
        <v>1.0000000000000009</v>
      </c>
      <c r="J46" s="9">
        <f t="shared" si="7"/>
        <v>0</v>
      </c>
      <c r="K46" s="9">
        <f t="shared" si="11"/>
        <v>0</v>
      </c>
      <c r="M46" s="14">
        <f t="shared" si="12"/>
        <v>10.606666666666666</v>
      </c>
      <c r="O46" s="1">
        <f t="shared" si="3"/>
        <v>11.09902013046594</v>
      </c>
      <c r="P46" s="1">
        <f t="shared" si="13"/>
        <v>-10.09902013046594</v>
      </c>
      <c r="Q46" s="1">
        <f t="shared" si="4"/>
        <v>101.99020759555629</v>
      </c>
    </row>
    <row r="47" spans="1:17" x14ac:dyDescent="0.25">
      <c r="C47" s="28"/>
      <c r="D47" s="1">
        <v>41</v>
      </c>
      <c r="E47" s="5">
        <v>31</v>
      </c>
      <c r="F47" s="7">
        <f t="shared" si="5"/>
        <v>34.401975065305955</v>
      </c>
      <c r="G47" s="10">
        <f t="shared" si="9"/>
        <v>0</v>
      </c>
      <c r="H47" s="7">
        <f t="shared" si="6"/>
        <v>0.90111105368665845</v>
      </c>
      <c r="I47" s="16">
        <f t="shared" si="10"/>
        <v>30.999999999999993</v>
      </c>
      <c r="J47" s="9">
        <f t="shared" si="7"/>
        <v>0</v>
      </c>
      <c r="K47" s="9">
        <f t="shared" si="11"/>
        <v>0</v>
      </c>
      <c r="M47" s="14">
        <f t="shared" si="12"/>
        <v>10.94</v>
      </c>
      <c r="O47" s="1">
        <f t="shared" si="3"/>
        <v>11.09902013046594</v>
      </c>
      <c r="P47" s="1">
        <f t="shared" si="13"/>
        <v>19.900979869534062</v>
      </c>
      <c r="Q47" s="1">
        <f t="shared" si="4"/>
        <v>396.04899976759998</v>
      </c>
    </row>
    <row r="48" spans="1:17" x14ac:dyDescent="0.25">
      <c r="C48" s="28"/>
      <c r="D48" s="1">
        <v>42</v>
      </c>
      <c r="E48" s="5">
        <v>10</v>
      </c>
      <c r="F48" s="7">
        <f t="shared" si="5"/>
        <v>34.679409922029315</v>
      </c>
      <c r="G48" s="10">
        <f t="shared" si="9"/>
        <v>0</v>
      </c>
      <c r="H48" s="7">
        <f t="shared" si="6"/>
        <v>0.28835554072238484</v>
      </c>
      <c r="I48" s="16">
        <f t="shared" si="10"/>
        <v>9.9999999999999982</v>
      </c>
      <c r="J48" s="9">
        <f t="shared" si="7"/>
        <v>0</v>
      </c>
      <c r="K48" s="9">
        <f t="shared" si="11"/>
        <v>0</v>
      </c>
      <c r="M48" s="14">
        <f t="shared" si="12"/>
        <v>9.206666666666667</v>
      </c>
      <c r="O48" s="1">
        <f t="shared" si="3"/>
        <v>11.09902013046594</v>
      </c>
      <c r="P48" s="1">
        <f t="shared" si="13"/>
        <v>-1.0990201304659397</v>
      </c>
      <c r="Q48" s="1">
        <f t="shared" si="4"/>
        <v>1.2078452471693712</v>
      </c>
    </row>
    <row r="49" spans="3:25" x14ac:dyDescent="0.25">
      <c r="C49" s="28"/>
      <c r="D49" s="1">
        <v>43</v>
      </c>
      <c r="E49" s="5">
        <v>10</v>
      </c>
      <c r="F49" s="7">
        <f t="shared" si="5"/>
        <v>8.4071290051334238</v>
      </c>
      <c r="G49" s="10">
        <f t="shared" si="9"/>
        <v>0</v>
      </c>
      <c r="H49" s="7">
        <f t="shared" si="6"/>
        <v>1.1894667006886612</v>
      </c>
      <c r="I49" s="16">
        <f t="shared" si="10"/>
        <v>10.000000000000002</v>
      </c>
      <c r="J49" s="9">
        <f t="shared" si="7"/>
        <v>0</v>
      </c>
      <c r="K49" s="9">
        <f t="shared" si="11"/>
        <v>0</v>
      </c>
      <c r="M49" s="14">
        <f t="shared" si="12"/>
        <v>9.1399999999999988</v>
      </c>
      <c r="O49" s="1">
        <f t="shared" si="3"/>
        <v>11.09902013046594</v>
      </c>
      <c r="P49" s="1">
        <f t="shared" si="13"/>
        <v>-1.0990201304659397</v>
      </c>
      <c r="Q49" s="1">
        <f t="shared" si="4"/>
        <v>1.2078452471693712</v>
      </c>
    </row>
    <row r="50" spans="3:25" x14ac:dyDescent="0.25">
      <c r="C50" s="28"/>
      <c r="D50" s="1">
        <v>44</v>
      </c>
      <c r="E50" s="5">
        <v>11</v>
      </c>
      <c r="F50" s="7">
        <f t="shared" si="5"/>
        <v>8.8457619087028263</v>
      </c>
      <c r="G50" s="10">
        <f t="shared" si="9"/>
        <v>0</v>
      </c>
      <c r="H50" s="7">
        <f t="shared" si="6"/>
        <v>1.2435333568245541</v>
      </c>
      <c r="I50" s="16">
        <f t="shared" si="10"/>
        <v>11</v>
      </c>
      <c r="J50" s="9">
        <f t="shared" si="7"/>
        <v>0</v>
      </c>
      <c r="K50" s="9">
        <f t="shared" si="11"/>
        <v>0</v>
      </c>
      <c r="M50" s="14">
        <f t="shared" si="12"/>
        <v>9.6733333333333338</v>
      </c>
      <c r="O50" s="1">
        <f t="shared" si="3"/>
        <v>11.09902013046594</v>
      </c>
      <c r="P50" s="1">
        <f t="shared" si="13"/>
        <v>-9.9020130465939715E-2</v>
      </c>
      <c r="Q50" s="1">
        <f t="shared" si="4"/>
        <v>9.8049862374917224E-3</v>
      </c>
    </row>
    <row r="51" spans="3:25" x14ac:dyDescent="0.25">
      <c r="C51" s="28"/>
      <c r="D51" s="1">
        <v>45</v>
      </c>
      <c r="E51" s="5">
        <v>13</v>
      </c>
      <c r="F51" s="7">
        <f t="shared" si="5"/>
        <v>14.872818469527278</v>
      </c>
      <c r="G51" s="10">
        <f t="shared" si="9"/>
        <v>0</v>
      </c>
      <c r="H51" s="7">
        <f t="shared" si="6"/>
        <v>0.87407776990188701</v>
      </c>
      <c r="I51" s="16">
        <f t="shared" si="10"/>
        <v>13</v>
      </c>
      <c r="J51" s="9">
        <f t="shared" si="7"/>
        <v>0</v>
      </c>
      <c r="K51" s="9">
        <f t="shared" si="11"/>
        <v>0</v>
      </c>
      <c r="M51" s="14">
        <f t="shared" si="12"/>
        <v>9.1399999999999988</v>
      </c>
      <c r="O51" s="1">
        <f t="shared" si="3"/>
        <v>11.09902013046594</v>
      </c>
      <c r="P51" s="1">
        <f t="shared" si="13"/>
        <v>1.9009798695340603</v>
      </c>
      <c r="Q51" s="1">
        <f t="shared" si="4"/>
        <v>3.6137244643737327</v>
      </c>
    </row>
    <row r="52" spans="3:25" x14ac:dyDescent="0.25">
      <c r="C52" s="28"/>
      <c r="D52" s="1">
        <v>46</v>
      </c>
      <c r="E52" s="5">
        <v>10</v>
      </c>
      <c r="F52" s="7">
        <f t="shared" si="5"/>
        <v>4.6960635811507787</v>
      </c>
      <c r="G52" s="10">
        <f>$P$3*(F52-F51)+(1-$P$3)*G51</f>
        <v>0</v>
      </c>
      <c r="H52" s="7">
        <f t="shared" si="6"/>
        <v>2.1294430595314644</v>
      </c>
      <c r="I52" s="16">
        <f t="shared" si="10"/>
        <v>10.000000000000002</v>
      </c>
      <c r="J52" s="9">
        <f t="shared" si="7"/>
        <v>0</v>
      </c>
      <c r="K52" s="9">
        <f t="shared" si="11"/>
        <v>0</v>
      </c>
      <c r="M52" s="14">
        <f t="shared" si="12"/>
        <v>9.8733333333333331</v>
      </c>
      <c r="O52" s="1">
        <f t="shared" si="3"/>
        <v>11.09902013046594</v>
      </c>
      <c r="P52" s="1">
        <f t="shared" si="13"/>
        <v>-1.0990201304659397</v>
      </c>
      <c r="Q52" s="1">
        <f t="shared" si="4"/>
        <v>1.2078452471693712</v>
      </c>
    </row>
    <row r="53" spans="3:25" x14ac:dyDescent="0.25">
      <c r="C53" s="28"/>
      <c r="D53" s="1">
        <v>47</v>
      </c>
      <c r="E53" s="5">
        <v>0.05</v>
      </c>
      <c r="F53" s="7">
        <f t="shared" si="5"/>
        <v>0.24194936359927699</v>
      </c>
      <c r="G53" s="10">
        <f t="shared" si="9"/>
        <v>0</v>
      </c>
      <c r="H53" s="7">
        <f t="shared" si="6"/>
        <v>0.20665481097446217</v>
      </c>
      <c r="I53" s="16">
        <f t="shared" si="10"/>
        <v>5.0000000000000107E-2</v>
      </c>
      <c r="J53" s="9">
        <f t="shared" si="7"/>
        <v>-1.0408340855860843E-16</v>
      </c>
      <c r="K53" s="9">
        <f t="shared" si="11"/>
        <v>1.0408340855860843E-16</v>
      </c>
      <c r="M53" s="14">
        <f t="shared" si="12"/>
        <v>9.4066666666666663</v>
      </c>
      <c r="O53" s="1">
        <f t="shared" si="3"/>
        <v>11.09902013046594</v>
      </c>
      <c r="P53" s="1">
        <f t="shared" si="13"/>
        <v>-11.049020130465939</v>
      </c>
      <c r="Q53" s="1">
        <f t="shared" si="4"/>
        <v>122.08084584344155</v>
      </c>
    </row>
    <row r="54" spans="3:25" x14ac:dyDescent="0.25">
      <c r="C54" s="28"/>
      <c r="D54" s="1">
        <v>48</v>
      </c>
      <c r="E54" s="5">
        <v>11</v>
      </c>
      <c r="F54" s="7">
        <f t="shared" ref="F54:F85" si="14">$P$2*(E54/H39)+(1-$P$2)*(F53+G53)</f>
        <v>19.432757669424191</v>
      </c>
      <c r="G54" s="10">
        <f t="shared" si="9"/>
        <v>0</v>
      </c>
      <c r="H54" s="7">
        <f t="shared" ref="H54:H85" si="15">$P$4*(E54/F54)+(1-$P$4)*H39</f>
        <v>0.56605450379837619</v>
      </c>
      <c r="I54" s="16">
        <f t="shared" si="10"/>
        <v>10.999999999999998</v>
      </c>
      <c r="J54" s="9">
        <f t="shared" ref="J54:J85" si="16">E54-I54</f>
        <v>0</v>
      </c>
      <c r="K54" s="9">
        <f t="shared" si="11"/>
        <v>0</v>
      </c>
      <c r="M54" s="14">
        <f t="shared" si="12"/>
        <v>10.67</v>
      </c>
      <c r="O54" s="1">
        <f t="shared" si="3"/>
        <v>11.09902013046594</v>
      </c>
      <c r="P54" s="1">
        <f t="shared" si="13"/>
        <v>-9.9020130465939715E-2</v>
      </c>
      <c r="Q54" s="1">
        <f t="shared" si="4"/>
        <v>9.8049862374917224E-3</v>
      </c>
    </row>
    <row r="55" spans="3:25" x14ac:dyDescent="0.25">
      <c r="C55" s="28"/>
      <c r="D55" s="1">
        <v>49</v>
      </c>
      <c r="E55" s="5">
        <v>11</v>
      </c>
      <c r="F55" s="7">
        <f t="shared" si="14"/>
        <v>10.93092629594363</v>
      </c>
      <c r="G55" s="10">
        <f t="shared" si="9"/>
        <v>0</v>
      </c>
      <c r="H55" s="7">
        <f t="shared" si="15"/>
        <v>1.0063191080230778</v>
      </c>
      <c r="I55" s="16">
        <f t="shared" si="10"/>
        <v>11</v>
      </c>
      <c r="J55" s="9">
        <f t="shared" si="16"/>
        <v>0</v>
      </c>
      <c r="K55" s="9">
        <f t="shared" si="11"/>
        <v>0</v>
      </c>
      <c r="M55" s="14">
        <f t="shared" si="12"/>
        <v>10.536666666666667</v>
      </c>
      <c r="O55" s="1">
        <f t="shared" si="3"/>
        <v>11.09902013046594</v>
      </c>
      <c r="P55" s="1">
        <f t="shared" si="13"/>
        <v>-9.9020130465939715E-2</v>
      </c>
      <c r="Q55" s="1">
        <f t="shared" si="4"/>
        <v>9.8049862374917224E-3</v>
      </c>
    </row>
    <row r="56" spans="3:25" x14ac:dyDescent="0.25">
      <c r="C56" s="28"/>
      <c r="D56" s="1">
        <v>50</v>
      </c>
      <c r="E56" s="5">
        <v>0.05</v>
      </c>
      <c r="F56" s="7">
        <f t="shared" si="14"/>
        <v>5.1053534775956033E-2</v>
      </c>
      <c r="G56" s="10">
        <f t="shared" si="9"/>
        <v>0</v>
      </c>
      <c r="H56" s="7">
        <f t="shared" si="15"/>
        <v>0.97936411689064473</v>
      </c>
      <c r="I56" s="16">
        <f t="shared" si="10"/>
        <v>5.0000000000001182E-2</v>
      </c>
      <c r="J56" s="9">
        <f t="shared" si="16"/>
        <v>-1.1796119636642288E-15</v>
      </c>
      <c r="K56" s="9">
        <f t="shared" si="11"/>
        <v>1.1796119636642288E-15</v>
      </c>
      <c r="M56" s="14">
        <f t="shared" si="12"/>
        <v>10.603333333333333</v>
      </c>
      <c r="O56" s="1">
        <f t="shared" si="3"/>
        <v>11.09902013046594</v>
      </c>
      <c r="P56" s="1">
        <f t="shared" si="13"/>
        <v>-11.049020130465939</v>
      </c>
      <c r="Q56" s="1">
        <f t="shared" si="4"/>
        <v>122.08084584344155</v>
      </c>
    </row>
    <row r="57" spans="3:25" x14ac:dyDescent="0.25">
      <c r="C57" s="28"/>
      <c r="D57" s="1">
        <v>51</v>
      </c>
      <c r="E57" s="5">
        <v>11</v>
      </c>
      <c r="F57" s="7">
        <f t="shared" si="14"/>
        <v>8.6827216130368168</v>
      </c>
      <c r="G57" s="10">
        <f t="shared" si="9"/>
        <v>0</v>
      </c>
      <c r="H57" s="7">
        <f t="shared" si="15"/>
        <v>1.2668838746924544</v>
      </c>
      <c r="I57" s="16">
        <f t="shared" si="10"/>
        <v>10.999999999999996</v>
      </c>
      <c r="J57" s="9">
        <f t="shared" si="16"/>
        <v>0</v>
      </c>
      <c r="K57" s="9">
        <f t="shared" si="11"/>
        <v>0</v>
      </c>
      <c r="M57" s="14">
        <f t="shared" si="12"/>
        <v>11.333333333333334</v>
      </c>
      <c r="O57" s="1">
        <f t="shared" si="3"/>
        <v>11.09902013046594</v>
      </c>
      <c r="P57" s="1">
        <f t="shared" si="13"/>
        <v>-9.9020130465939715E-2</v>
      </c>
      <c r="Q57" s="1">
        <f t="shared" si="4"/>
        <v>9.8049862374917224E-3</v>
      </c>
    </row>
    <row r="58" spans="3:25" x14ac:dyDescent="0.25">
      <c r="C58" s="28"/>
      <c r="D58" s="1">
        <v>52</v>
      </c>
      <c r="E58" s="12">
        <v>18</v>
      </c>
      <c r="F58" s="7">
        <f t="shared" si="14"/>
        <v>11.254722430625097</v>
      </c>
      <c r="G58" s="10">
        <f t="shared" si="9"/>
        <v>0</v>
      </c>
      <c r="H58" s="7">
        <f t="shared" si="15"/>
        <v>1.5993286472370394</v>
      </c>
      <c r="I58" s="16">
        <f t="shared" si="10"/>
        <v>18</v>
      </c>
      <c r="J58" s="9">
        <f t="shared" si="16"/>
        <v>0</v>
      </c>
      <c r="K58" s="9">
        <f t="shared" si="11"/>
        <v>0</v>
      </c>
      <c r="M58" s="14">
        <f t="shared" si="12"/>
        <v>11.2</v>
      </c>
      <c r="O58" s="1">
        <f t="shared" si="3"/>
        <v>11.09902013046594</v>
      </c>
      <c r="P58" s="1">
        <f t="shared" si="13"/>
        <v>6.9009798695340603</v>
      </c>
      <c r="Q58" s="1">
        <f t="shared" si="4"/>
        <v>47.623523159714338</v>
      </c>
    </row>
    <row r="59" spans="3:25" x14ac:dyDescent="0.25">
      <c r="C59" s="29" t="s">
        <v>23</v>
      </c>
      <c r="D59" s="1">
        <v>53</v>
      </c>
      <c r="E59" s="12">
        <v>10</v>
      </c>
      <c r="F59" s="7">
        <f t="shared" si="14"/>
        <v>14.454117994355562</v>
      </c>
      <c r="G59" s="10">
        <f t="shared" si="9"/>
        <v>0</v>
      </c>
      <c r="H59" s="7">
        <f t="shared" si="15"/>
        <v>0.69184435908888198</v>
      </c>
      <c r="I59" s="16">
        <f t="shared" si="10"/>
        <v>10</v>
      </c>
      <c r="J59" s="9">
        <f t="shared" si="16"/>
        <v>0</v>
      </c>
      <c r="K59" s="9">
        <f t="shared" si="11"/>
        <v>0</v>
      </c>
      <c r="M59" s="14">
        <f t="shared" si="12"/>
        <v>11.533333333333333</v>
      </c>
      <c r="O59" s="1">
        <f t="shared" si="3"/>
        <v>11.09902013046594</v>
      </c>
      <c r="P59" s="1">
        <f t="shared" si="13"/>
        <v>-1.0990201304659397</v>
      </c>
      <c r="Q59" s="1">
        <f t="shared" si="4"/>
        <v>1.2078452471693712</v>
      </c>
    </row>
    <row r="60" spans="3:25" x14ac:dyDescent="0.25">
      <c r="C60" s="29"/>
      <c r="D60" s="1">
        <v>54</v>
      </c>
      <c r="E60" s="12">
        <v>12</v>
      </c>
      <c r="F60" s="7">
        <f t="shared" si="14"/>
        <v>8.3997517785324263</v>
      </c>
      <c r="G60" s="10">
        <f t="shared" si="9"/>
        <v>0</v>
      </c>
      <c r="H60" s="7">
        <f t="shared" si="15"/>
        <v>1.4286136443542139</v>
      </c>
      <c r="I60" s="16">
        <f t="shared" si="10"/>
        <v>12</v>
      </c>
      <c r="J60" s="9">
        <f t="shared" si="16"/>
        <v>0</v>
      </c>
      <c r="K60" s="9">
        <f t="shared" si="11"/>
        <v>0</v>
      </c>
      <c r="M60" s="14">
        <f t="shared" si="12"/>
        <v>10.9</v>
      </c>
      <c r="O60" s="1">
        <f t="shared" si="3"/>
        <v>11.09902013046594</v>
      </c>
      <c r="P60" s="1">
        <f t="shared" si="13"/>
        <v>0.90097986953406028</v>
      </c>
      <c r="Q60" s="1">
        <f t="shared" si="4"/>
        <v>0.81176472530561228</v>
      </c>
    </row>
    <row r="61" spans="3:25" x14ac:dyDescent="0.25">
      <c r="C61" s="29"/>
      <c r="D61" s="1">
        <v>55</v>
      </c>
      <c r="E61" s="12">
        <v>6</v>
      </c>
      <c r="F61" s="7">
        <f t="shared" si="14"/>
        <v>9.5397173267232329</v>
      </c>
      <c r="G61" s="10">
        <f t="shared" si="9"/>
        <v>0</v>
      </c>
      <c r="H61" s="7">
        <f t="shared" si="15"/>
        <v>0.62894945358521659</v>
      </c>
      <c r="I61" s="16">
        <f t="shared" si="10"/>
        <v>6.0000000000000009</v>
      </c>
      <c r="J61" s="9">
        <f t="shared" si="16"/>
        <v>0</v>
      </c>
      <c r="K61" s="9">
        <f t="shared" si="11"/>
        <v>0</v>
      </c>
      <c r="M61" s="14">
        <f t="shared" si="12"/>
        <v>10.833333333333334</v>
      </c>
      <c r="O61" s="1">
        <f t="shared" si="3"/>
        <v>11.09902013046594</v>
      </c>
      <c r="P61" s="1">
        <f t="shared" si="13"/>
        <v>-5.0990201304659397</v>
      </c>
      <c r="Q61" s="1">
        <f t="shared" si="4"/>
        <v>26.000006290896888</v>
      </c>
      <c r="W61" s="1" t="s">
        <v>12</v>
      </c>
      <c r="Y61" s="1" t="s">
        <v>14</v>
      </c>
    </row>
    <row r="62" spans="3:25" x14ac:dyDescent="0.25">
      <c r="C62" s="29"/>
      <c r="D62" s="1">
        <v>56</v>
      </c>
      <c r="E62" s="12">
        <v>5</v>
      </c>
      <c r="F62" s="7">
        <f t="shared" si="14"/>
        <v>5.5487056556945094</v>
      </c>
      <c r="G62" s="10">
        <f t="shared" si="9"/>
        <v>0</v>
      </c>
      <c r="H62" s="7">
        <f t="shared" si="15"/>
        <v>0.90111105368665834</v>
      </c>
      <c r="I62" s="16">
        <f t="shared" si="10"/>
        <v>5</v>
      </c>
      <c r="J62" s="9">
        <f t="shared" si="16"/>
        <v>0</v>
      </c>
      <c r="K62" s="9">
        <f t="shared" si="11"/>
        <v>0</v>
      </c>
      <c r="M62" s="14">
        <f t="shared" si="12"/>
        <v>11.033333333333333</v>
      </c>
      <c r="O62" s="1">
        <f t="shared" si="3"/>
        <v>11.09902013046594</v>
      </c>
      <c r="P62" s="1">
        <f t="shared" si="13"/>
        <v>-6.0990201304659397</v>
      </c>
      <c r="Q62" s="1">
        <f t="shared" si="4"/>
        <v>37.198046551828767</v>
      </c>
      <c r="W62" s="1">
        <f>AVERAGE(E84:E110)</f>
        <v>11.640740740740741</v>
      </c>
      <c r="Y62" s="1">
        <f>AVERAGE(E59:E84)</f>
        <v>11.05</v>
      </c>
    </row>
    <row r="63" spans="3:25" x14ac:dyDescent="0.25">
      <c r="C63" s="29"/>
      <c r="D63" s="1">
        <v>57</v>
      </c>
      <c r="E63" s="12">
        <v>9</v>
      </c>
      <c r="F63" s="7">
        <f t="shared" si="14"/>
        <v>31.211468929826378</v>
      </c>
      <c r="G63" s="10">
        <f t="shared" si="9"/>
        <v>0</v>
      </c>
      <c r="H63" s="7">
        <f t="shared" si="15"/>
        <v>0.28835554072238484</v>
      </c>
      <c r="I63" s="16">
        <f t="shared" si="10"/>
        <v>9</v>
      </c>
      <c r="J63" s="9">
        <f t="shared" si="16"/>
        <v>0</v>
      </c>
      <c r="K63" s="9">
        <f t="shared" si="11"/>
        <v>0</v>
      </c>
      <c r="M63" s="14">
        <f t="shared" si="12"/>
        <v>10.753333333333334</v>
      </c>
      <c r="O63" s="1">
        <f t="shared" si="3"/>
        <v>11.09902013046594</v>
      </c>
      <c r="P63" s="1">
        <f t="shared" si="13"/>
        <v>-2.0990201304659397</v>
      </c>
      <c r="Q63" s="1">
        <f t="shared" si="4"/>
        <v>4.4058855081012505</v>
      </c>
      <c r="V63" s="1" t="s">
        <v>13</v>
      </c>
      <c r="W63" s="1">
        <f>W62/Y62</f>
        <v>1.053460700519524</v>
      </c>
    </row>
    <row r="64" spans="3:25" x14ac:dyDescent="0.25">
      <c r="C64" s="29"/>
      <c r="D64" s="1">
        <v>58</v>
      </c>
      <c r="E64" s="12">
        <v>18</v>
      </c>
      <c r="F64" s="7">
        <f t="shared" si="14"/>
        <v>15.132832209240163</v>
      </c>
      <c r="G64" s="10">
        <f t="shared" si="9"/>
        <v>0</v>
      </c>
      <c r="H64" s="7">
        <f t="shared" si="15"/>
        <v>1.1894667006886612</v>
      </c>
      <c r="I64" s="16">
        <f t="shared" si="10"/>
        <v>18</v>
      </c>
      <c r="J64" s="9">
        <f t="shared" si="16"/>
        <v>0</v>
      </c>
      <c r="K64" s="9">
        <f t="shared" si="11"/>
        <v>0</v>
      </c>
      <c r="M64" s="14">
        <f t="shared" si="12"/>
        <v>11.153333333333334</v>
      </c>
      <c r="O64" s="1">
        <f t="shared" si="3"/>
        <v>11.09902013046594</v>
      </c>
      <c r="P64" s="1">
        <f t="shared" si="13"/>
        <v>6.9009798695340603</v>
      </c>
      <c r="Q64" s="1">
        <f t="shared" si="4"/>
        <v>47.623523159714338</v>
      </c>
    </row>
    <row r="65" spans="3:17" x14ac:dyDescent="0.25">
      <c r="C65" s="29"/>
      <c r="D65" s="1">
        <v>59</v>
      </c>
      <c r="E65" s="12">
        <v>3</v>
      </c>
      <c r="F65" s="7">
        <f t="shared" si="14"/>
        <v>2.4124805205553175</v>
      </c>
      <c r="G65" s="10">
        <f t="shared" si="9"/>
        <v>0</v>
      </c>
      <c r="H65" s="7">
        <f t="shared" si="15"/>
        <v>1.2435333568245535</v>
      </c>
      <c r="I65" s="16">
        <f t="shared" si="10"/>
        <v>3.0000000000000018</v>
      </c>
      <c r="J65" s="9">
        <f t="shared" si="16"/>
        <v>0</v>
      </c>
      <c r="K65" s="9">
        <f t="shared" si="11"/>
        <v>0</v>
      </c>
      <c r="M65" s="14">
        <f t="shared" si="12"/>
        <v>11.020000000000001</v>
      </c>
      <c r="O65" s="1">
        <f t="shared" si="3"/>
        <v>11.09902013046594</v>
      </c>
      <c r="P65" s="1">
        <f t="shared" si="13"/>
        <v>-8.0990201304659397</v>
      </c>
      <c r="Q65" s="1">
        <f t="shared" si="4"/>
        <v>65.594127073692533</v>
      </c>
    </row>
    <row r="66" spans="3:17" x14ac:dyDescent="0.25">
      <c r="C66" s="29"/>
      <c r="D66" s="1">
        <v>60</v>
      </c>
      <c r="E66" s="12">
        <v>24</v>
      </c>
      <c r="F66" s="7">
        <f t="shared" si="14"/>
        <v>27.457511020665741</v>
      </c>
      <c r="G66" s="10">
        <f t="shared" si="9"/>
        <v>0</v>
      </c>
      <c r="H66" s="7">
        <f t="shared" si="15"/>
        <v>0.87407776990188712</v>
      </c>
      <c r="I66" s="16">
        <f t="shared" si="10"/>
        <v>23.999999999999996</v>
      </c>
      <c r="J66" s="9">
        <f t="shared" si="16"/>
        <v>0</v>
      </c>
      <c r="K66" s="9">
        <f t="shared" si="11"/>
        <v>0</v>
      </c>
      <c r="M66" s="14">
        <f t="shared" si="12"/>
        <v>11.82</v>
      </c>
      <c r="O66" s="1">
        <f t="shared" si="3"/>
        <v>11.09902013046594</v>
      </c>
      <c r="P66" s="1">
        <f t="shared" si="13"/>
        <v>12.90097986953406</v>
      </c>
      <c r="Q66" s="1">
        <f t="shared" si="4"/>
        <v>166.43528159412307</v>
      </c>
    </row>
    <row r="67" spans="3:17" x14ac:dyDescent="0.25">
      <c r="C67" s="29"/>
      <c r="D67" s="1">
        <v>61</v>
      </c>
      <c r="E67" s="12">
        <v>3</v>
      </c>
      <c r="F67" s="7">
        <f t="shared" si="14"/>
        <v>1.4088190743452365</v>
      </c>
      <c r="G67" s="10">
        <f t="shared" si="9"/>
        <v>0</v>
      </c>
      <c r="H67" s="7">
        <f t="shared" si="15"/>
        <v>2.1294430595314604</v>
      </c>
      <c r="I67" s="16">
        <f t="shared" si="10"/>
        <v>3.0000000000000058</v>
      </c>
      <c r="J67" s="9">
        <f t="shared" si="16"/>
        <v>-5.773159728050814E-15</v>
      </c>
      <c r="K67" s="9">
        <f t="shared" si="11"/>
        <v>5.773159728050814E-15</v>
      </c>
      <c r="M67" s="14">
        <f t="shared" si="12"/>
        <v>10.886666666666667</v>
      </c>
      <c r="O67" s="1">
        <f t="shared" si="3"/>
        <v>11.09902013046594</v>
      </c>
      <c r="P67" s="1">
        <f t="shared" si="13"/>
        <v>-8.0990201304659397</v>
      </c>
      <c r="Q67" s="1">
        <f t="shared" si="4"/>
        <v>65.594127073692533</v>
      </c>
    </row>
    <row r="68" spans="3:17" x14ac:dyDescent="0.25">
      <c r="C68" s="29"/>
      <c r="D68" s="1">
        <v>62</v>
      </c>
      <c r="E68" s="12">
        <v>19</v>
      </c>
      <c r="F68" s="7">
        <f t="shared" si="14"/>
        <v>91.940758167725235</v>
      </c>
      <c r="G68" s="10">
        <f t="shared" si="9"/>
        <v>0</v>
      </c>
      <c r="H68" s="7">
        <f t="shared" si="15"/>
        <v>0.2066548109744622</v>
      </c>
      <c r="I68" s="16">
        <f t="shared" si="10"/>
        <v>18.999999999999996</v>
      </c>
      <c r="J68" s="9">
        <f t="shared" si="16"/>
        <v>0</v>
      </c>
      <c r="K68" s="9">
        <f t="shared" si="11"/>
        <v>0</v>
      </c>
      <c r="M68" s="14">
        <f t="shared" si="12"/>
        <v>11.020000000000001</v>
      </c>
      <c r="O68" s="1">
        <f t="shared" si="3"/>
        <v>11.09902013046594</v>
      </c>
      <c r="P68" s="1">
        <f t="shared" si="13"/>
        <v>7.9009798695340603</v>
      </c>
      <c r="Q68" s="1">
        <f t="shared" si="4"/>
        <v>62.425482898782455</v>
      </c>
    </row>
    <row r="69" spans="3:17" x14ac:dyDescent="0.25">
      <c r="C69" s="29"/>
      <c r="D69" s="1">
        <v>63</v>
      </c>
      <c r="E69" s="12">
        <v>9</v>
      </c>
      <c r="F69" s="7">
        <f t="shared" si="14"/>
        <v>15.899529002256166</v>
      </c>
      <c r="G69" s="10">
        <f t="shared" si="9"/>
        <v>0</v>
      </c>
      <c r="H69" s="7">
        <f t="shared" si="15"/>
        <v>0.56605450379837585</v>
      </c>
      <c r="I69" s="16">
        <f t="shared" si="10"/>
        <v>9.0000000000000053</v>
      </c>
      <c r="J69" s="9">
        <f t="shared" si="16"/>
        <v>0</v>
      </c>
      <c r="K69" s="9">
        <f t="shared" si="11"/>
        <v>0</v>
      </c>
      <c r="M69" s="14">
        <f>AVERAGE(E69:E83)</f>
        <v>10.086666666666668</v>
      </c>
      <c r="O69" s="1">
        <f t="shared" si="3"/>
        <v>11.09902013046594</v>
      </c>
      <c r="P69" s="1">
        <f t="shared" si="13"/>
        <v>-2.0990201304659397</v>
      </c>
      <c r="Q69" s="1">
        <f t="shared" si="4"/>
        <v>4.4058855081012505</v>
      </c>
    </row>
    <row r="70" spans="3:17" x14ac:dyDescent="0.25">
      <c r="C70" s="29"/>
      <c r="D70" s="1">
        <v>64</v>
      </c>
      <c r="E70" s="12">
        <v>12</v>
      </c>
      <c r="F70" s="7">
        <f t="shared" si="14"/>
        <v>11.924646868302142</v>
      </c>
      <c r="G70" s="10">
        <f t="shared" si="9"/>
        <v>0</v>
      </c>
      <c r="H70" s="7">
        <f t="shared" si="15"/>
        <v>1.0063191080230778</v>
      </c>
      <c r="I70" s="16">
        <f t="shared" si="10"/>
        <v>12</v>
      </c>
      <c r="J70" s="9">
        <f t="shared" si="16"/>
        <v>0</v>
      </c>
      <c r="K70" s="9">
        <f t="shared" si="11"/>
        <v>0</v>
      </c>
      <c r="M70" s="14">
        <f>AVERAGE(E70:E84)</f>
        <v>11.286666666666667</v>
      </c>
      <c r="O70" s="1">
        <f t="shared" si="3"/>
        <v>11.09902013046594</v>
      </c>
      <c r="P70" s="1">
        <f t="shared" si="13"/>
        <v>0.90097986953406028</v>
      </c>
      <c r="Q70" s="1">
        <f t="shared" si="4"/>
        <v>0.81176472530561228</v>
      </c>
    </row>
    <row r="71" spans="3:17" x14ac:dyDescent="0.25">
      <c r="C71" s="29"/>
      <c r="D71" s="1">
        <v>65</v>
      </c>
      <c r="E71" s="12">
        <v>11</v>
      </c>
      <c r="F71" s="7">
        <f t="shared" si="14"/>
        <v>11.231777650710328</v>
      </c>
      <c r="G71" s="10">
        <f t="shared" si="9"/>
        <v>0</v>
      </c>
      <c r="H71" s="7">
        <f t="shared" si="15"/>
        <v>0.97936411689064473</v>
      </c>
      <c r="I71" s="16">
        <f t="shared" si="10"/>
        <v>11</v>
      </c>
      <c r="J71" s="9">
        <f t="shared" si="16"/>
        <v>0</v>
      </c>
      <c r="K71" s="9">
        <f t="shared" si="11"/>
        <v>0</v>
      </c>
    </row>
    <row r="72" spans="3:17" x14ac:dyDescent="0.25">
      <c r="C72" s="29"/>
      <c r="D72" s="1">
        <v>66</v>
      </c>
      <c r="E72" s="12">
        <v>9</v>
      </c>
      <c r="F72" s="7">
        <f t="shared" si="14"/>
        <v>7.1040449561210313</v>
      </c>
      <c r="G72" s="10">
        <f t="shared" si="9"/>
        <v>0</v>
      </c>
      <c r="H72" s="7">
        <f t="shared" si="15"/>
        <v>1.2668838746924544</v>
      </c>
      <c r="I72" s="16">
        <f t="shared" si="10"/>
        <v>9</v>
      </c>
      <c r="J72" s="9">
        <f t="shared" si="16"/>
        <v>0</v>
      </c>
      <c r="K72" s="9">
        <f t="shared" si="11"/>
        <v>0</v>
      </c>
    </row>
    <row r="73" spans="3:17" x14ac:dyDescent="0.25">
      <c r="C73" s="29"/>
      <c r="D73" s="1">
        <v>67</v>
      </c>
      <c r="E73" s="12">
        <v>23</v>
      </c>
      <c r="F73" s="7">
        <f t="shared" si="14"/>
        <v>14.381034216909844</v>
      </c>
      <c r="G73" s="10">
        <f t="shared" si="9"/>
        <v>0</v>
      </c>
      <c r="H73" s="7">
        <f t="shared" si="15"/>
        <v>1.5993286472370396</v>
      </c>
      <c r="I73" s="16">
        <f t="shared" si="10"/>
        <v>22.999999999999996</v>
      </c>
      <c r="J73" s="9">
        <f t="shared" si="16"/>
        <v>0</v>
      </c>
      <c r="K73" s="9">
        <f t="shared" si="11"/>
        <v>0</v>
      </c>
    </row>
    <row r="74" spans="3:17" x14ac:dyDescent="0.25">
      <c r="C74" s="29"/>
      <c r="D74" s="1">
        <v>68</v>
      </c>
      <c r="E74" s="12">
        <v>0.5</v>
      </c>
      <c r="F74" s="7">
        <f t="shared" si="14"/>
        <v>0.72270589971777954</v>
      </c>
      <c r="G74" s="10">
        <f t="shared" si="9"/>
        <v>0</v>
      </c>
      <c r="H74" s="7">
        <f t="shared" si="15"/>
        <v>0.69184435908888064</v>
      </c>
      <c r="I74" s="16">
        <f t="shared" si="10"/>
        <v>0.500000000000001</v>
      </c>
      <c r="J74" s="9">
        <f t="shared" si="16"/>
        <v>-9.9920072216264089E-16</v>
      </c>
      <c r="K74" s="9">
        <f t="shared" si="11"/>
        <v>9.9920072216264089E-16</v>
      </c>
    </row>
    <row r="75" spans="3:17" x14ac:dyDescent="0.25">
      <c r="C75" s="29"/>
      <c r="D75" s="1">
        <v>69</v>
      </c>
      <c r="E75" s="12">
        <v>11</v>
      </c>
      <c r="F75" s="7">
        <f t="shared" si="14"/>
        <v>7.6997724636547238</v>
      </c>
      <c r="G75" s="10">
        <f t="shared" si="9"/>
        <v>0</v>
      </c>
      <c r="H75" s="7">
        <f t="shared" si="15"/>
        <v>1.4286136443542141</v>
      </c>
      <c r="I75" s="16">
        <f t="shared" si="10"/>
        <v>10.999999999999998</v>
      </c>
      <c r="J75" s="9">
        <f t="shared" si="16"/>
        <v>0</v>
      </c>
      <c r="K75" s="9">
        <f t="shared" si="11"/>
        <v>0</v>
      </c>
    </row>
    <row r="76" spans="3:17" x14ac:dyDescent="0.25">
      <c r="C76" s="29"/>
      <c r="D76" s="1">
        <v>70</v>
      </c>
      <c r="E76" s="12">
        <v>9</v>
      </c>
      <c r="F76" s="7">
        <f t="shared" si="14"/>
        <v>14.309575990084847</v>
      </c>
      <c r="G76" s="10">
        <f t="shared" si="9"/>
        <v>0</v>
      </c>
      <c r="H76" s="7">
        <f t="shared" si="15"/>
        <v>0.6289494535852167</v>
      </c>
      <c r="I76" s="16">
        <f t="shared" si="10"/>
        <v>8.9999999999999982</v>
      </c>
      <c r="J76" s="9">
        <f t="shared" si="16"/>
        <v>0</v>
      </c>
      <c r="K76" s="9">
        <f t="shared" si="11"/>
        <v>0</v>
      </c>
    </row>
    <row r="77" spans="3:17" x14ac:dyDescent="0.25">
      <c r="C77" s="29"/>
      <c r="D77" s="1">
        <v>71</v>
      </c>
      <c r="E77" s="12">
        <v>0.8</v>
      </c>
      <c r="F77" s="7">
        <f t="shared" si="14"/>
        <v>0.88779290491112306</v>
      </c>
      <c r="G77" s="10">
        <f t="shared" si="9"/>
        <v>0</v>
      </c>
      <c r="H77" s="7">
        <f t="shared" si="15"/>
        <v>0.90111105368665689</v>
      </c>
      <c r="I77" s="16">
        <f t="shared" si="10"/>
        <v>0.80000000000000138</v>
      </c>
      <c r="J77" s="9">
        <f t="shared" si="16"/>
        <v>-1.3322676295501878E-15</v>
      </c>
      <c r="K77" s="9">
        <f t="shared" si="11"/>
        <v>1.3322676295501878E-15</v>
      </c>
    </row>
    <row r="78" spans="3:17" x14ac:dyDescent="0.25">
      <c r="C78" s="29"/>
      <c r="D78" s="1">
        <v>72</v>
      </c>
      <c r="E78" s="12">
        <v>15</v>
      </c>
      <c r="F78" s="7">
        <f t="shared" si="14"/>
        <v>52.019114883043962</v>
      </c>
      <c r="G78" s="10">
        <f t="shared" si="9"/>
        <v>0</v>
      </c>
      <c r="H78" s="7">
        <f t="shared" si="15"/>
        <v>0.2883555407223849</v>
      </c>
      <c r="I78" s="16">
        <f t="shared" si="10"/>
        <v>14.999999999999998</v>
      </c>
      <c r="J78" s="9">
        <f t="shared" si="16"/>
        <v>0</v>
      </c>
      <c r="K78" s="9">
        <f t="shared" si="11"/>
        <v>0</v>
      </c>
    </row>
    <row r="79" spans="3:17" x14ac:dyDescent="0.25">
      <c r="C79" s="29"/>
      <c r="D79" s="1">
        <v>73</v>
      </c>
      <c r="E79" s="12">
        <v>16</v>
      </c>
      <c r="F79" s="7">
        <f t="shared" si="14"/>
        <v>13.451406408213481</v>
      </c>
      <c r="G79" s="10">
        <f t="shared" si="9"/>
        <v>0</v>
      </c>
      <c r="H79" s="7">
        <f t="shared" si="15"/>
        <v>1.189466700688661</v>
      </c>
      <c r="I79" s="16">
        <f t="shared" si="10"/>
        <v>16.000000000000004</v>
      </c>
      <c r="J79" s="9">
        <f t="shared" si="16"/>
        <v>0</v>
      </c>
      <c r="K79" s="9">
        <f t="shared" si="11"/>
        <v>0</v>
      </c>
    </row>
    <row r="80" spans="3:17" x14ac:dyDescent="0.25">
      <c r="C80" s="29"/>
      <c r="D80" s="1">
        <v>74</v>
      </c>
      <c r="E80" s="12">
        <v>15</v>
      </c>
      <c r="F80" s="7">
        <f t="shared" si="14"/>
        <v>12.062402602776586</v>
      </c>
      <c r="G80" s="10">
        <f t="shared" si="9"/>
        <v>0</v>
      </c>
      <c r="H80" s="7">
        <f t="shared" si="15"/>
        <v>1.2435333568245535</v>
      </c>
      <c r="I80" s="16">
        <f t="shared" si="10"/>
        <v>15</v>
      </c>
      <c r="J80" s="9">
        <f t="shared" si="16"/>
        <v>0</v>
      </c>
      <c r="K80" s="9">
        <f t="shared" si="11"/>
        <v>0</v>
      </c>
    </row>
    <row r="81" spans="3:11" x14ac:dyDescent="0.25">
      <c r="C81" s="29"/>
      <c r="D81" s="1">
        <v>75</v>
      </c>
      <c r="E81" s="12">
        <v>10</v>
      </c>
      <c r="F81" s="7">
        <f t="shared" si="14"/>
        <v>11.440629591944059</v>
      </c>
      <c r="G81" s="10">
        <f t="shared" si="9"/>
        <v>0</v>
      </c>
      <c r="H81" s="7">
        <f t="shared" si="15"/>
        <v>0.87407776990188712</v>
      </c>
      <c r="I81" s="16">
        <f t="shared" si="10"/>
        <v>10</v>
      </c>
      <c r="J81" s="9">
        <f t="shared" si="16"/>
        <v>0</v>
      </c>
      <c r="K81" s="9">
        <f t="shared" si="11"/>
        <v>0</v>
      </c>
    </row>
    <row r="82" spans="3:11" x14ac:dyDescent="0.25">
      <c r="C82" s="29"/>
      <c r="D82" s="1">
        <v>76</v>
      </c>
      <c r="E82" s="12">
        <v>5</v>
      </c>
      <c r="F82" s="7">
        <f t="shared" si="14"/>
        <v>2.3480317905753947</v>
      </c>
      <c r="G82" s="10">
        <f t="shared" si="9"/>
        <v>0</v>
      </c>
      <c r="H82" s="7">
        <f t="shared" si="15"/>
        <v>2.1294430595314595</v>
      </c>
      <c r="I82" s="16">
        <f t="shared" si="10"/>
        <v>5.0000000000000018</v>
      </c>
      <c r="J82" s="9">
        <f t="shared" si="16"/>
        <v>0</v>
      </c>
      <c r="K82" s="9">
        <f t="shared" si="11"/>
        <v>0</v>
      </c>
    </row>
    <row r="83" spans="3:11" x14ac:dyDescent="0.25">
      <c r="C83" s="29"/>
      <c r="D83" s="1">
        <v>77</v>
      </c>
      <c r="E83" s="12">
        <v>5</v>
      </c>
      <c r="F83" s="7">
        <f t="shared" si="14"/>
        <v>24.194936359927691</v>
      </c>
      <c r="G83" s="10">
        <f t="shared" si="9"/>
        <v>0</v>
      </c>
      <c r="H83" s="7">
        <f t="shared" si="15"/>
        <v>0.20665481097446223</v>
      </c>
      <c r="I83" s="16">
        <f t="shared" si="10"/>
        <v>5</v>
      </c>
      <c r="J83" s="9">
        <f t="shared" si="16"/>
        <v>0</v>
      </c>
      <c r="K83" s="9">
        <f t="shared" si="11"/>
        <v>0</v>
      </c>
    </row>
    <row r="84" spans="3:11" x14ac:dyDescent="0.25">
      <c r="C84" s="29"/>
      <c r="D84" s="1">
        <v>78</v>
      </c>
      <c r="E84" s="12">
        <v>27</v>
      </c>
      <c r="F84" s="7">
        <f t="shared" si="14"/>
        <v>47.698587006768491</v>
      </c>
      <c r="G84" s="10">
        <f t="shared" si="9"/>
        <v>0</v>
      </c>
      <c r="H84" s="7">
        <f t="shared" si="15"/>
        <v>0.56605450379837596</v>
      </c>
      <c r="I84" s="16">
        <f t="shared" si="10"/>
        <v>26.999999999999996</v>
      </c>
      <c r="J84" s="9">
        <f t="shared" si="16"/>
        <v>0</v>
      </c>
      <c r="K84" s="9">
        <f t="shared" si="11"/>
        <v>0</v>
      </c>
    </row>
    <row r="85" spans="3:11" x14ac:dyDescent="0.25">
      <c r="D85" s="1">
        <v>79</v>
      </c>
      <c r="E85" s="12">
        <v>10</v>
      </c>
      <c r="F85" s="7">
        <f t="shared" si="14"/>
        <v>9.937205723585123</v>
      </c>
      <c r="G85" s="10">
        <f t="shared" si="9"/>
        <v>0</v>
      </c>
      <c r="H85" s="7">
        <f t="shared" si="15"/>
        <v>1.0063191080230773</v>
      </c>
      <c r="I85" s="16">
        <f t="shared" si="10"/>
        <v>10.000000000000004</v>
      </c>
      <c r="J85" s="9">
        <f t="shared" si="16"/>
        <v>0</v>
      </c>
      <c r="K85" s="9">
        <f t="shared" si="11"/>
        <v>0</v>
      </c>
    </row>
    <row r="86" spans="3:11" x14ac:dyDescent="0.25">
      <c r="D86" s="1">
        <v>80</v>
      </c>
      <c r="E86" s="12">
        <v>12</v>
      </c>
      <c r="F86" s="7">
        <f t="shared" ref="F86:F94" si="17">$P$2*(E86/H71)+(1-$P$2)*(F85+G85)</f>
        <v>12.252848346229447</v>
      </c>
      <c r="G86" s="10">
        <f t="shared" si="9"/>
        <v>0</v>
      </c>
      <c r="H86" s="7">
        <f t="shared" ref="H86:H94" si="18">$P$4*(E86/F86)+(1-$P$4)*H71</f>
        <v>0.97936411689064484</v>
      </c>
      <c r="I86" s="16">
        <f t="shared" si="10"/>
        <v>12</v>
      </c>
      <c r="J86" s="9">
        <f t="shared" ref="J86:J94" si="19">E86-I86</f>
        <v>0</v>
      </c>
      <c r="K86" s="9">
        <f t="shared" si="11"/>
        <v>0</v>
      </c>
    </row>
    <row r="87" spans="3:11" x14ac:dyDescent="0.25">
      <c r="D87" s="1">
        <v>81</v>
      </c>
      <c r="E87" s="12">
        <v>6</v>
      </c>
      <c r="F87" s="7">
        <f t="shared" si="17"/>
        <v>4.7360299707473557</v>
      </c>
      <c r="G87" s="10">
        <f t="shared" ref="G87:G110" si="20">$P$3*(F87-F86)+(1-$P$3)*G86</f>
        <v>0</v>
      </c>
      <c r="H87" s="7">
        <f t="shared" si="18"/>
        <v>1.266883874692454</v>
      </c>
      <c r="I87" s="16">
        <f t="shared" ref="I87:I110" si="21">(F87+(G87))*H72</f>
        <v>6.0000000000000018</v>
      </c>
      <c r="J87" s="9">
        <f t="shared" si="19"/>
        <v>0</v>
      </c>
      <c r="K87" s="9">
        <f t="shared" si="11"/>
        <v>0</v>
      </c>
    </row>
    <row r="88" spans="3:11" x14ac:dyDescent="0.25">
      <c r="D88" s="1">
        <v>82</v>
      </c>
      <c r="E88" s="12">
        <v>5</v>
      </c>
      <c r="F88" s="7">
        <f t="shared" si="17"/>
        <v>3.1263117862847487</v>
      </c>
      <c r="G88" s="10">
        <f t="shared" si="20"/>
        <v>0</v>
      </c>
      <c r="H88" s="7">
        <f t="shared" si="18"/>
        <v>1.5993286472370396</v>
      </c>
      <c r="I88" s="16">
        <f t="shared" si="21"/>
        <v>5</v>
      </c>
      <c r="J88" s="9">
        <f t="shared" si="19"/>
        <v>0</v>
      </c>
      <c r="K88" s="9">
        <f t="shared" si="11"/>
        <v>0</v>
      </c>
    </row>
    <row r="89" spans="3:11" x14ac:dyDescent="0.25">
      <c r="D89" s="1">
        <v>83</v>
      </c>
      <c r="E89" s="12">
        <v>9</v>
      </c>
      <c r="F89" s="7">
        <f t="shared" si="17"/>
        <v>13.008706194920029</v>
      </c>
      <c r="G89" s="10">
        <f t="shared" si="20"/>
        <v>0</v>
      </c>
      <c r="H89" s="7">
        <f t="shared" si="18"/>
        <v>0.69184435908888076</v>
      </c>
      <c r="I89" s="16">
        <f t="shared" si="21"/>
        <v>8.9999999999999982</v>
      </c>
      <c r="J89" s="9">
        <f t="shared" si="19"/>
        <v>0</v>
      </c>
      <c r="K89" s="9">
        <f t="shared" ref="K89:K110" si="22">ABS(J89)</f>
        <v>0</v>
      </c>
    </row>
    <row r="90" spans="3:11" x14ac:dyDescent="0.25">
      <c r="D90" s="1">
        <v>84</v>
      </c>
      <c r="E90" s="12">
        <v>18</v>
      </c>
      <c r="F90" s="7">
        <f t="shared" si="17"/>
        <v>12.599627667798638</v>
      </c>
      <c r="G90" s="10">
        <f t="shared" si="20"/>
        <v>0</v>
      </c>
      <c r="H90" s="7">
        <f t="shared" si="18"/>
        <v>1.4286136443542141</v>
      </c>
      <c r="I90" s="16">
        <f t="shared" si="21"/>
        <v>18</v>
      </c>
      <c r="J90" s="9">
        <f t="shared" si="19"/>
        <v>0</v>
      </c>
      <c r="K90" s="9">
        <f t="shared" si="22"/>
        <v>0</v>
      </c>
    </row>
    <row r="91" spans="3:11" x14ac:dyDescent="0.25">
      <c r="D91" s="1">
        <v>85</v>
      </c>
      <c r="E91" s="12">
        <v>3</v>
      </c>
      <c r="F91" s="7">
        <f t="shared" si="17"/>
        <v>4.7698586633616165</v>
      </c>
      <c r="G91" s="10">
        <f t="shared" si="20"/>
        <v>0</v>
      </c>
      <c r="H91" s="7">
        <f t="shared" si="18"/>
        <v>0.62894945358521659</v>
      </c>
      <c r="I91" s="16">
        <f t="shared" si="21"/>
        <v>3.0000000000000009</v>
      </c>
      <c r="J91" s="9">
        <f t="shared" si="19"/>
        <v>0</v>
      </c>
      <c r="K91" s="9">
        <f t="shared" si="22"/>
        <v>0</v>
      </c>
    </row>
    <row r="92" spans="3:11" x14ac:dyDescent="0.25">
      <c r="D92" s="1">
        <v>86</v>
      </c>
      <c r="E92" s="12">
        <v>24</v>
      </c>
      <c r="F92" s="7">
        <f t="shared" si="17"/>
        <v>26.633787147333685</v>
      </c>
      <c r="G92" s="10">
        <f t="shared" si="20"/>
        <v>0</v>
      </c>
      <c r="H92" s="7">
        <f t="shared" si="18"/>
        <v>0.901111053686657</v>
      </c>
      <c r="I92" s="16">
        <f t="shared" si="21"/>
        <v>23.999999999999996</v>
      </c>
      <c r="J92" s="9">
        <f t="shared" si="19"/>
        <v>0</v>
      </c>
      <c r="K92" s="9">
        <f t="shared" si="22"/>
        <v>0</v>
      </c>
    </row>
    <row r="93" spans="3:11" x14ac:dyDescent="0.25">
      <c r="D93" s="1">
        <v>87</v>
      </c>
      <c r="E93" s="12">
        <v>3</v>
      </c>
      <c r="F93" s="7">
        <f t="shared" si="17"/>
        <v>10.403822976608794</v>
      </c>
      <c r="G93" s="10">
        <f t="shared" si="20"/>
        <v>0</v>
      </c>
      <c r="H93" s="7">
        <f t="shared" si="18"/>
        <v>0.28835554072238484</v>
      </c>
      <c r="I93" s="16">
        <f t="shared" si="21"/>
        <v>3.0000000000000004</v>
      </c>
      <c r="J93" s="9">
        <f t="shared" si="19"/>
        <v>0</v>
      </c>
      <c r="K93" s="9">
        <f t="shared" si="22"/>
        <v>0</v>
      </c>
    </row>
    <row r="94" spans="3:11" x14ac:dyDescent="0.25">
      <c r="D94" s="1">
        <v>88</v>
      </c>
      <c r="E94" s="12">
        <v>19</v>
      </c>
      <c r="F94" s="7">
        <f t="shared" si="17"/>
        <v>15.973545109753507</v>
      </c>
      <c r="G94" s="10">
        <f t="shared" si="20"/>
        <v>0</v>
      </c>
      <c r="H94" s="7">
        <f t="shared" si="18"/>
        <v>1.189466700688661</v>
      </c>
      <c r="I94" s="16">
        <f t="shared" si="21"/>
        <v>19</v>
      </c>
      <c r="J94" s="9">
        <f t="shared" si="19"/>
        <v>0</v>
      </c>
      <c r="K94" s="9">
        <f t="shared" si="22"/>
        <v>0</v>
      </c>
    </row>
    <row r="95" spans="3:11" x14ac:dyDescent="0.25">
      <c r="D95" s="1">
        <v>89</v>
      </c>
      <c r="E95" s="12">
        <v>9</v>
      </c>
      <c r="F95" s="7">
        <f t="shared" ref="F95:F110" si="23">$P$2*(E95/H80)+(1-$P$2)*(F94+G94)</f>
        <v>7.2374415616659533</v>
      </c>
      <c r="G95" s="10">
        <f t="shared" si="20"/>
        <v>0</v>
      </c>
      <c r="H95" s="7">
        <f t="shared" ref="H95:H110" si="24">$P$4*(E95/F95)+(1-$P$4)*H80</f>
        <v>1.2435333568245532</v>
      </c>
      <c r="I95" s="16">
        <f t="shared" si="21"/>
        <v>9.0000000000000018</v>
      </c>
      <c r="J95" s="9">
        <f t="shared" ref="J95:J110" si="25">E95-I95</f>
        <v>0</v>
      </c>
      <c r="K95" s="9">
        <f t="shared" si="22"/>
        <v>0</v>
      </c>
    </row>
    <row r="96" spans="3:11" x14ac:dyDescent="0.25">
      <c r="D96" s="1">
        <v>90</v>
      </c>
      <c r="E96" s="12">
        <v>12</v>
      </c>
      <c r="F96" s="7">
        <f t="shared" si="23"/>
        <v>13.728755510332869</v>
      </c>
      <c r="G96" s="10">
        <f t="shared" si="20"/>
        <v>0</v>
      </c>
      <c r="H96" s="7">
        <f t="shared" si="24"/>
        <v>0.87407776990188724</v>
      </c>
      <c r="I96" s="16">
        <f t="shared" si="21"/>
        <v>11.999999999999998</v>
      </c>
      <c r="J96" s="9">
        <f t="shared" si="25"/>
        <v>0</v>
      </c>
      <c r="K96" s="9">
        <f t="shared" si="22"/>
        <v>0</v>
      </c>
    </row>
    <row r="97" spans="4:11" x14ac:dyDescent="0.25">
      <c r="D97" s="1">
        <v>91</v>
      </c>
      <c r="E97" s="12">
        <v>11</v>
      </c>
      <c r="F97" s="7">
        <f t="shared" si="23"/>
        <v>5.1656699392658698</v>
      </c>
      <c r="G97" s="10">
        <f t="shared" si="20"/>
        <v>0</v>
      </c>
      <c r="H97" s="7">
        <f t="shared" si="24"/>
        <v>2.1294430595314591</v>
      </c>
      <c r="I97" s="16">
        <f t="shared" si="21"/>
        <v>11.000000000000002</v>
      </c>
      <c r="J97" s="9">
        <f t="shared" si="25"/>
        <v>0</v>
      </c>
      <c r="K97" s="9">
        <f t="shared" si="22"/>
        <v>0</v>
      </c>
    </row>
    <row r="98" spans="4:11" x14ac:dyDescent="0.25">
      <c r="D98" s="1">
        <v>92</v>
      </c>
      <c r="E98" s="12">
        <v>9</v>
      </c>
      <c r="F98" s="7">
        <f t="shared" si="23"/>
        <v>43.550885447869838</v>
      </c>
      <c r="G98" s="10">
        <f t="shared" si="20"/>
        <v>0</v>
      </c>
      <c r="H98" s="7">
        <f t="shared" si="24"/>
        <v>0.20665481097446226</v>
      </c>
      <c r="I98" s="16">
        <f t="shared" si="21"/>
        <v>9</v>
      </c>
      <c r="J98" s="9">
        <f t="shared" si="25"/>
        <v>0</v>
      </c>
      <c r="K98" s="9">
        <f t="shared" si="22"/>
        <v>0</v>
      </c>
    </row>
    <row r="99" spans="4:11" x14ac:dyDescent="0.25">
      <c r="D99" s="1">
        <v>93</v>
      </c>
      <c r="E99" s="12">
        <v>23</v>
      </c>
      <c r="F99" s="7">
        <f t="shared" si="23"/>
        <v>40.63212967243242</v>
      </c>
      <c r="G99" s="10">
        <f t="shared" si="20"/>
        <v>0</v>
      </c>
      <c r="H99" s="7">
        <f t="shared" si="24"/>
        <v>0.56605450379837596</v>
      </c>
      <c r="I99" s="16">
        <f t="shared" si="21"/>
        <v>23.000000000000004</v>
      </c>
      <c r="J99" s="9">
        <f t="shared" si="25"/>
        <v>0</v>
      </c>
      <c r="K99" s="9">
        <f t="shared" si="22"/>
        <v>0</v>
      </c>
    </row>
    <row r="100" spans="4:11" x14ac:dyDescent="0.25">
      <c r="D100" s="1">
        <v>94</v>
      </c>
      <c r="E100" s="12">
        <v>0.5</v>
      </c>
      <c r="F100" s="7">
        <f t="shared" si="23"/>
        <v>0.49686028617926059</v>
      </c>
      <c r="G100" s="10">
        <f t="shared" si="20"/>
        <v>0</v>
      </c>
      <c r="H100" s="7">
        <f t="shared" si="24"/>
        <v>1.0063191080230685</v>
      </c>
      <c r="I100" s="16">
        <f t="shared" si="21"/>
        <v>0.50000000000000444</v>
      </c>
      <c r="J100" s="9">
        <f t="shared" si="25"/>
        <v>-4.4408920985006262E-15</v>
      </c>
      <c r="K100" s="9">
        <f t="shared" si="22"/>
        <v>4.4408920985006262E-15</v>
      </c>
    </row>
    <row r="101" spans="4:11" x14ac:dyDescent="0.25">
      <c r="D101" s="1">
        <v>95</v>
      </c>
      <c r="E101" s="12">
        <v>11</v>
      </c>
      <c r="F101" s="7">
        <f t="shared" si="23"/>
        <v>11.231777650710324</v>
      </c>
      <c r="G101" s="10">
        <f t="shared" si="20"/>
        <v>0</v>
      </c>
      <c r="H101" s="7">
        <f t="shared" si="24"/>
        <v>0.97936411689064506</v>
      </c>
      <c r="I101" s="16">
        <f t="shared" si="21"/>
        <v>10.999999999999998</v>
      </c>
      <c r="J101" s="9">
        <f t="shared" si="25"/>
        <v>0</v>
      </c>
      <c r="K101" s="9">
        <f t="shared" si="22"/>
        <v>0</v>
      </c>
    </row>
    <row r="102" spans="4:11" x14ac:dyDescent="0.25">
      <c r="D102" s="1">
        <v>96</v>
      </c>
      <c r="E102" s="12">
        <v>9</v>
      </c>
      <c r="F102" s="7">
        <f t="shared" si="23"/>
        <v>7.1040449561210339</v>
      </c>
      <c r="G102" s="10">
        <f t="shared" si="20"/>
        <v>0</v>
      </c>
      <c r="H102" s="7">
        <f t="shared" si="24"/>
        <v>1.266883874692454</v>
      </c>
      <c r="I102" s="16">
        <f t="shared" si="21"/>
        <v>9</v>
      </c>
      <c r="J102" s="9">
        <f t="shared" si="25"/>
        <v>0</v>
      </c>
      <c r="K102" s="9">
        <f t="shared" si="22"/>
        <v>0</v>
      </c>
    </row>
    <row r="103" spans="4:11" x14ac:dyDescent="0.25">
      <c r="D103" s="1">
        <v>97</v>
      </c>
      <c r="E103" s="12">
        <v>0.8</v>
      </c>
      <c r="F103" s="7">
        <f t="shared" si="23"/>
        <v>0.50020988580556047</v>
      </c>
      <c r="G103" s="10">
        <f t="shared" si="20"/>
        <v>0</v>
      </c>
      <c r="H103" s="7">
        <f t="shared" si="24"/>
        <v>1.5993286472370376</v>
      </c>
      <c r="I103" s="16">
        <f t="shared" si="21"/>
        <v>0.80000000000000104</v>
      </c>
      <c r="J103" s="9">
        <f t="shared" si="25"/>
        <v>-9.9920072216264089E-16</v>
      </c>
      <c r="K103" s="9">
        <f t="shared" si="22"/>
        <v>9.9920072216264089E-16</v>
      </c>
    </row>
    <row r="104" spans="4:11" x14ac:dyDescent="0.25">
      <c r="D104" s="1">
        <v>98</v>
      </c>
      <c r="E104" s="12">
        <v>15</v>
      </c>
      <c r="F104" s="7">
        <f t="shared" si="23"/>
        <v>21.681176991533377</v>
      </c>
      <c r="G104" s="10">
        <f t="shared" si="20"/>
        <v>0</v>
      </c>
      <c r="H104" s="7">
        <f t="shared" si="24"/>
        <v>0.69184435908888087</v>
      </c>
      <c r="I104" s="16">
        <f t="shared" si="21"/>
        <v>14.999999999999996</v>
      </c>
      <c r="J104" s="9">
        <f t="shared" si="25"/>
        <v>0</v>
      </c>
      <c r="K104" s="9">
        <f t="shared" si="22"/>
        <v>0</v>
      </c>
    </row>
    <row r="105" spans="4:11" x14ac:dyDescent="0.25">
      <c r="D105" s="1">
        <v>99</v>
      </c>
      <c r="E105" s="12">
        <v>16</v>
      </c>
      <c r="F105" s="7">
        <f t="shared" si="23"/>
        <v>11.199669038043234</v>
      </c>
      <c r="G105" s="10">
        <f t="shared" si="20"/>
        <v>0</v>
      </c>
      <c r="H105" s="7">
        <f t="shared" si="24"/>
        <v>1.4286136443542141</v>
      </c>
      <c r="I105" s="16">
        <f t="shared" si="21"/>
        <v>16</v>
      </c>
      <c r="J105" s="9">
        <f t="shared" si="25"/>
        <v>0</v>
      </c>
      <c r="K105" s="9">
        <f t="shared" si="22"/>
        <v>0</v>
      </c>
    </row>
    <row r="106" spans="4:11" x14ac:dyDescent="0.25">
      <c r="D106" s="1">
        <v>100</v>
      </c>
      <c r="E106" s="12">
        <v>15</v>
      </c>
      <c r="F106" s="7">
        <f t="shared" si="23"/>
        <v>23.849293316808076</v>
      </c>
      <c r="G106" s="10">
        <f t="shared" si="20"/>
        <v>0</v>
      </c>
      <c r="H106" s="7">
        <f t="shared" si="24"/>
        <v>0.6289494535852167</v>
      </c>
      <c r="I106" s="16">
        <f t="shared" si="21"/>
        <v>14.999999999999996</v>
      </c>
      <c r="J106" s="9">
        <f t="shared" si="25"/>
        <v>0</v>
      </c>
      <c r="K106" s="9">
        <f t="shared" si="22"/>
        <v>0</v>
      </c>
    </row>
    <row r="107" spans="4:11" x14ac:dyDescent="0.25">
      <c r="D107" s="1">
        <v>101</v>
      </c>
      <c r="E107" s="12">
        <v>10</v>
      </c>
      <c r="F107" s="7">
        <f t="shared" si="23"/>
        <v>11.097411311389036</v>
      </c>
      <c r="G107" s="10">
        <f t="shared" si="20"/>
        <v>0</v>
      </c>
      <c r="H107" s="7">
        <f t="shared" si="24"/>
        <v>0.90111105368665689</v>
      </c>
      <c r="I107" s="16">
        <f t="shared" si="21"/>
        <v>10</v>
      </c>
      <c r="J107" s="9">
        <f t="shared" si="25"/>
        <v>0</v>
      </c>
      <c r="K107" s="9">
        <f t="shared" si="22"/>
        <v>0</v>
      </c>
    </row>
    <row r="108" spans="4:11" x14ac:dyDescent="0.25">
      <c r="D108" s="1">
        <v>102</v>
      </c>
      <c r="E108" s="12">
        <v>5</v>
      </c>
      <c r="F108" s="7">
        <f t="shared" si="23"/>
        <v>17.339704961014654</v>
      </c>
      <c r="G108" s="10">
        <f t="shared" si="20"/>
        <v>0</v>
      </c>
      <c r="H108" s="7">
        <f t="shared" si="24"/>
        <v>0.2883555407223849</v>
      </c>
      <c r="I108" s="16">
        <f t="shared" si="21"/>
        <v>4.9999999999999991</v>
      </c>
      <c r="J108" s="9">
        <f t="shared" si="25"/>
        <v>0</v>
      </c>
      <c r="K108" s="9">
        <f t="shared" si="22"/>
        <v>0</v>
      </c>
    </row>
    <row r="109" spans="4:11" x14ac:dyDescent="0.25">
      <c r="D109" s="1">
        <v>103</v>
      </c>
      <c r="E109" s="12">
        <v>5</v>
      </c>
      <c r="F109" s="7">
        <f t="shared" si="23"/>
        <v>4.2035645025667137</v>
      </c>
      <c r="G109" s="10">
        <f t="shared" si="20"/>
        <v>0</v>
      </c>
      <c r="H109" s="7">
        <f t="shared" si="24"/>
        <v>1.1894667006886608</v>
      </c>
      <c r="I109" s="16">
        <f t="shared" si="21"/>
        <v>5.0000000000000018</v>
      </c>
      <c r="J109" s="9">
        <f t="shared" si="25"/>
        <v>0</v>
      </c>
      <c r="K109" s="9">
        <f t="shared" si="22"/>
        <v>0</v>
      </c>
    </row>
    <row r="110" spans="4:11" x14ac:dyDescent="0.25">
      <c r="D110" s="1">
        <v>104</v>
      </c>
      <c r="E110" s="12">
        <v>27</v>
      </c>
      <c r="F110" s="7">
        <f t="shared" si="23"/>
        <v>21.712324684997856</v>
      </c>
      <c r="G110" s="10">
        <f t="shared" si="20"/>
        <v>0</v>
      </c>
      <c r="H110" s="7">
        <f t="shared" si="24"/>
        <v>1.2435333568245535</v>
      </c>
      <c r="I110" s="16">
        <f t="shared" si="21"/>
        <v>26.999999999999996</v>
      </c>
      <c r="J110" s="9">
        <f t="shared" si="25"/>
        <v>0</v>
      </c>
      <c r="K110" s="9">
        <f t="shared" si="22"/>
        <v>0</v>
      </c>
    </row>
  </sheetData>
  <mergeCells count="3">
    <mergeCell ref="C7:C32"/>
    <mergeCell ref="C33:C58"/>
    <mergeCell ref="C59:C84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110"/>
  <sheetViews>
    <sheetView topLeftCell="B7" zoomScale="70" zoomScaleNormal="70" workbookViewId="0">
      <selection activeCell="T57" sqref="T57"/>
    </sheetView>
  </sheetViews>
  <sheetFormatPr defaultRowHeight="15" x14ac:dyDescent="0.25"/>
  <cols>
    <col min="1" max="8" width="9.140625" style="1"/>
    <col min="9" max="9" width="9.140625" style="16"/>
    <col min="10" max="16384" width="9.140625" style="1"/>
  </cols>
  <sheetData>
    <row r="2" spans="3:22" x14ac:dyDescent="0.25">
      <c r="O2" s="8" t="s">
        <v>8</v>
      </c>
      <c r="P2" s="8">
        <v>0.99999999999999989</v>
      </c>
      <c r="U2" s="13" t="s">
        <v>17</v>
      </c>
      <c r="V2" s="13">
        <v>9.616190081951069E-2</v>
      </c>
    </row>
    <row r="3" spans="3:22" x14ac:dyDescent="0.25">
      <c r="O3" s="8" t="s">
        <v>9</v>
      </c>
      <c r="P3" s="8">
        <v>2.1539948325425022E-3</v>
      </c>
      <c r="Q3" s="1" t="s">
        <v>11</v>
      </c>
      <c r="R3" s="1">
        <f>SUM(K21:K84)</f>
        <v>11.418157607386021</v>
      </c>
      <c r="U3" s="13" t="s">
        <v>18</v>
      </c>
      <c r="V3" s="13">
        <v>113.36041323485156</v>
      </c>
    </row>
    <row r="4" spans="3:22" x14ac:dyDescent="0.25">
      <c r="O4" s="8" t="s">
        <v>10</v>
      </c>
      <c r="P4" s="8">
        <v>1</v>
      </c>
      <c r="U4" s="1" t="s">
        <v>20</v>
      </c>
      <c r="V4" s="1">
        <f>SUM(Q7:Q70)</f>
        <v>157608.14217664651</v>
      </c>
    </row>
    <row r="5" spans="3:22" x14ac:dyDescent="0.25">
      <c r="V5" s="1">
        <f>COUNT($P$2:$P$4)</f>
        <v>3</v>
      </c>
    </row>
    <row r="6" spans="3:22" x14ac:dyDescent="0.25">
      <c r="D6" s="1" t="s">
        <v>7</v>
      </c>
      <c r="E6" s="2" t="s">
        <v>0</v>
      </c>
      <c r="F6" s="1" t="s">
        <v>1</v>
      </c>
      <c r="G6" s="1" t="s">
        <v>4</v>
      </c>
      <c r="H6" s="1" t="s">
        <v>2</v>
      </c>
      <c r="I6" s="16" t="s">
        <v>3</v>
      </c>
      <c r="J6" s="1" t="s">
        <v>5</v>
      </c>
      <c r="K6" s="1" t="s">
        <v>6</v>
      </c>
      <c r="L6" s="1" t="s">
        <v>15</v>
      </c>
      <c r="O6" s="8" t="s">
        <v>16</v>
      </c>
      <c r="P6" s="1" t="s">
        <v>19</v>
      </c>
      <c r="Q6" s="1" t="s">
        <v>11</v>
      </c>
    </row>
    <row r="7" spans="3:22" x14ac:dyDescent="0.25">
      <c r="C7" s="27" t="s">
        <v>21</v>
      </c>
      <c r="D7" s="1">
        <v>1</v>
      </c>
      <c r="E7" s="20">
        <v>184.43360000000001</v>
      </c>
      <c r="F7" s="3"/>
      <c r="G7" s="3"/>
      <c r="H7" s="3">
        <f t="shared" ref="H7:H21" si="0">E7/$A$44</f>
        <v>1.6056218405605462</v>
      </c>
      <c r="J7" s="3"/>
      <c r="K7" s="3"/>
      <c r="L7" s="3"/>
      <c r="M7" s="14">
        <f t="shared" ref="M7:M38" si="1">AVERAGE(E7:E21)</f>
        <v>114.86739613333332</v>
      </c>
      <c r="N7" s="14"/>
      <c r="O7" s="1">
        <f>$V$2*D7+$V$3</f>
        <v>113.45657513567107</v>
      </c>
      <c r="P7" s="1">
        <f t="shared" ref="P7:P39" si="2">E7-O7</f>
        <v>70.977024864328939</v>
      </c>
      <c r="Q7" s="1">
        <f>P7*P7</f>
        <v>5037.7380585915689</v>
      </c>
    </row>
    <row r="8" spans="3:22" x14ac:dyDescent="0.25">
      <c r="C8" s="27"/>
      <c r="D8" s="1">
        <v>2</v>
      </c>
      <c r="E8" s="20">
        <v>76.693280000000001</v>
      </c>
      <c r="F8" s="3"/>
      <c r="G8" s="3"/>
      <c r="H8" s="3">
        <f t="shared" si="0"/>
        <v>0.6676679595920989</v>
      </c>
      <c r="J8" s="3"/>
      <c r="K8" s="3"/>
      <c r="L8" s="3"/>
      <c r="M8" s="14">
        <f t="shared" si="1"/>
        <v>114.62979413333332</v>
      </c>
      <c r="N8" s="14"/>
      <c r="O8" s="1">
        <f t="shared" ref="O8:O70" si="3">$V$2*D8+$V$3</f>
        <v>113.55273703649058</v>
      </c>
      <c r="P8" s="1">
        <f t="shared" si="2"/>
        <v>-36.859457036490582</v>
      </c>
      <c r="Q8" s="1">
        <f t="shared" ref="Q8:Q70" si="4">P8*P8</f>
        <v>1358.6195730248951</v>
      </c>
    </row>
    <row r="9" spans="3:22" x14ac:dyDescent="0.25">
      <c r="C9" s="27"/>
      <c r="D9" s="1">
        <v>3</v>
      </c>
      <c r="E9" s="20">
        <v>165.47471999999999</v>
      </c>
      <c r="F9" s="3"/>
      <c r="G9" s="3"/>
      <c r="H9" s="3">
        <f t="shared" si="0"/>
        <v>1.4405716989346897</v>
      </c>
      <c r="J9" s="3"/>
      <c r="K9" s="3"/>
      <c r="L9" s="3"/>
      <c r="M9" s="14">
        <f t="shared" si="1"/>
        <v>114.85024213333331</v>
      </c>
      <c r="N9" s="14"/>
      <c r="O9" s="1">
        <f t="shared" si="3"/>
        <v>113.64889893731009</v>
      </c>
      <c r="P9" s="1">
        <f t="shared" si="2"/>
        <v>51.825821062689897</v>
      </c>
      <c r="Q9" s="1">
        <f t="shared" si="4"/>
        <v>2685.9157288219517</v>
      </c>
    </row>
    <row r="10" spans="3:22" x14ac:dyDescent="0.25">
      <c r="C10" s="27"/>
      <c r="D10" s="1">
        <v>4</v>
      </c>
      <c r="E10" s="20">
        <v>37.737354000000003</v>
      </c>
      <c r="F10" s="3"/>
      <c r="G10" s="3"/>
      <c r="H10" s="3">
        <f t="shared" si="0"/>
        <v>0.32852972445023515</v>
      </c>
      <c r="J10" s="3"/>
      <c r="K10" s="3"/>
      <c r="L10" s="3"/>
      <c r="M10" s="14">
        <f t="shared" si="1"/>
        <v>114.36931813333334</v>
      </c>
      <c r="N10" s="14"/>
      <c r="O10" s="1">
        <f t="shared" si="3"/>
        <v>113.7450608381296</v>
      </c>
      <c r="P10" s="1">
        <f t="shared" si="2"/>
        <v>-76.007706838129593</v>
      </c>
      <c r="Q10" s="1">
        <f t="shared" si="4"/>
        <v>5777.1714987910518</v>
      </c>
    </row>
    <row r="11" spans="3:22" x14ac:dyDescent="0.25">
      <c r="C11" s="27"/>
      <c r="D11" s="1">
        <v>5</v>
      </c>
      <c r="E11" s="20">
        <v>92.602779999999996</v>
      </c>
      <c r="F11" s="3"/>
      <c r="G11" s="3"/>
      <c r="H11" s="3">
        <f t="shared" si="0"/>
        <v>0.80617114270189016</v>
      </c>
      <c r="J11" s="3"/>
      <c r="K11" s="3"/>
      <c r="L11" s="3"/>
      <c r="M11" s="14">
        <f t="shared" si="1"/>
        <v>118.75204546666669</v>
      </c>
      <c r="N11" s="14"/>
      <c r="O11" s="1">
        <f t="shared" si="3"/>
        <v>113.84122273894911</v>
      </c>
      <c r="P11" s="1">
        <f t="shared" si="2"/>
        <v>-21.238442738949118</v>
      </c>
      <c r="Q11" s="1">
        <f t="shared" si="4"/>
        <v>451.07144997562051</v>
      </c>
    </row>
    <row r="12" spans="3:22" x14ac:dyDescent="0.25">
      <c r="C12" s="27"/>
      <c r="D12" s="1">
        <v>6</v>
      </c>
      <c r="E12" s="20">
        <v>107.47412</v>
      </c>
      <c r="F12" s="3"/>
      <c r="G12" s="3"/>
      <c r="H12" s="3">
        <f t="shared" si="0"/>
        <v>0.93563642615567344</v>
      </c>
      <c r="J12" s="3"/>
      <c r="K12" s="3"/>
      <c r="L12" s="3"/>
      <c r="M12" s="14">
        <f t="shared" si="1"/>
        <v>117.10026613333335</v>
      </c>
      <c r="N12" s="14"/>
      <c r="O12" s="1">
        <f t="shared" si="3"/>
        <v>113.93738463976862</v>
      </c>
      <c r="P12" s="1">
        <f t="shared" si="2"/>
        <v>-6.4632646397686244</v>
      </c>
      <c r="Q12" s="1">
        <f t="shared" si="4"/>
        <v>41.773789803683449</v>
      </c>
    </row>
    <row r="13" spans="3:22" x14ac:dyDescent="0.25">
      <c r="C13" s="27"/>
      <c r="D13" s="1">
        <v>7</v>
      </c>
      <c r="E13" s="20">
        <v>70.168589999999995</v>
      </c>
      <c r="F13" s="3"/>
      <c r="G13" s="3"/>
      <c r="H13" s="3">
        <f t="shared" si="0"/>
        <v>0.61086602780262556</v>
      </c>
      <c r="J13" s="3"/>
      <c r="K13" s="3"/>
      <c r="L13" s="3"/>
      <c r="M13" s="14">
        <f t="shared" si="1"/>
        <v>116.09811573333334</v>
      </c>
      <c r="N13" s="14"/>
      <c r="O13" s="1">
        <f t="shared" si="3"/>
        <v>114.03354654058813</v>
      </c>
      <c r="P13" s="1">
        <f t="shared" si="2"/>
        <v>-43.864956540588139</v>
      </c>
      <c r="Q13" s="1">
        <f t="shared" si="4"/>
        <v>1924.1344123076863</v>
      </c>
    </row>
    <row r="14" spans="3:22" x14ac:dyDescent="0.25">
      <c r="C14" s="27"/>
      <c r="D14" s="1">
        <v>8</v>
      </c>
      <c r="E14" s="20">
        <v>166.77610999999999</v>
      </c>
      <c r="F14" s="3"/>
      <c r="G14" s="3"/>
      <c r="H14" s="3">
        <f t="shared" si="0"/>
        <v>1.4519011975026681</v>
      </c>
      <c r="J14" s="3"/>
      <c r="K14" s="3"/>
      <c r="L14" s="3"/>
      <c r="M14" s="14">
        <f t="shared" si="1"/>
        <v>119.61788440000002</v>
      </c>
      <c r="N14" s="14"/>
      <c r="O14" s="1">
        <f t="shared" si="3"/>
        <v>114.12970844140764</v>
      </c>
      <c r="P14" s="1">
        <f t="shared" si="2"/>
        <v>52.646401558592345</v>
      </c>
      <c r="Q14" s="1">
        <f t="shared" si="4"/>
        <v>2771.6435970685543</v>
      </c>
    </row>
    <row r="15" spans="3:22" x14ac:dyDescent="0.25">
      <c r="C15" s="27"/>
      <c r="D15" s="1">
        <v>9</v>
      </c>
      <c r="E15" s="20">
        <v>159.91127</v>
      </c>
      <c r="F15" s="3"/>
      <c r="G15" s="3"/>
      <c r="H15" s="3">
        <f t="shared" si="0"/>
        <v>1.3921380250874811</v>
      </c>
      <c r="J15" s="3"/>
      <c r="K15" s="3"/>
      <c r="L15" s="3"/>
      <c r="M15" s="14">
        <f t="shared" si="1"/>
        <v>116.58087240000002</v>
      </c>
      <c r="N15" s="14"/>
      <c r="O15" s="1">
        <f t="shared" si="3"/>
        <v>114.22587034222715</v>
      </c>
      <c r="P15" s="1">
        <f t="shared" si="2"/>
        <v>45.685399657772848</v>
      </c>
      <c r="Q15" s="1">
        <f t="shared" si="4"/>
        <v>2087.1557418904313</v>
      </c>
    </row>
    <row r="16" spans="3:22" x14ac:dyDescent="0.25">
      <c r="C16" s="27"/>
      <c r="D16" s="1">
        <v>10</v>
      </c>
      <c r="E16" s="20">
        <v>257.3913</v>
      </c>
      <c r="F16" s="3"/>
      <c r="G16" s="3"/>
      <c r="H16" s="3">
        <f t="shared" si="0"/>
        <v>2.2407689968111653</v>
      </c>
      <c r="J16" s="3"/>
      <c r="K16" s="3"/>
      <c r="L16" s="3"/>
      <c r="M16" s="14">
        <f t="shared" si="1"/>
        <v>111.67593506666667</v>
      </c>
      <c r="N16" s="14"/>
      <c r="O16" s="1">
        <f t="shared" si="3"/>
        <v>114.32203224304666</v>
      </c>
      <c r="P16" s="1">
        <f t="shared" si="2"/>
        <v>143.06926775695334</v>
      </c>
      <c r="Q16" s="1">
        <f t="shared" si="4"/>
        <v>20468.815376510807</v>
      </c>
    </row>
    <row r="17" spans="3:17" x14ac:dyDescent="0.25">
      <c r="C17" s="27"/>
      <c r="D17" s="1">
        <v>11</v>
      </c>
      <c r="E17" s="20">
        <v>76.521736000000004</v>
      </c>
      <c r="F17" s="3"/>
      <c r="G17" s="3"/>
      <c r="H17" s="3">
        <f t="shared" si="0"/>
        <v>0.66617455061988817</v>
      </c>
      <c r="J17" s="3"/>
      <c r="K17" s="3"/>
      <c r="L17" s="3"/>
      <c r="M17" s="14">
        <f t="shared" si="1"/>
        <v>100.03977106666665</v>
      </c>
      <c r="N17" s="14"/>
      <c r="O17" s="1">
        <f t="shared" si="3"/>
        <v>114.41819414386617</v>
      </c>
      <c r="P17" s="1">
        <f t="shared" si="2"/>
        <v>-37.89645814386617</v>
      </c>
      <c r="Q17" s="1">
        <f t="shared" si="4"/>
        <v>1436.1415398498004</v>
      </c>
    </row>
    <row r="18" spans="3:17" x14ac:dyDescent="0.25">
      <c r="C18" s="27"/>
      <c r="D18" s="1">
        <v>12</v>
      </c>
      <c r="E18" s="20">
        <v>53.913043999999999</v>
      </c>
      <c r="F18" s="3"/>
      <c r="G18" s="3"/>
      <c r="H18" s="3">
        <f t="shared" si="0"/>
        <v>0.46935027531589529</v>
      </c>
      <c r="J18" s="3"/>
      <c r="K18" s="3"/>
      <c r="L18" s="3"/>
      <c r="M18" s="14">
        <f t="shared" si="1"/>
        <v>105.926694</v>
      </c>
      <c r="N18" s="14"/>
      <c r="O18" s="1">
        <f t="shared" si="3"/>
        <v>114.5143560446857</v>
      </c>
      <c r="P18" s="1">
        <f t="shared" si="2"/>
        <v>-60.601312044685699</v>
      </c>
      <c r="Q18" s="1">
        <f t="shared" si="4"/>
        <v>3672.5190215373677</v>
      </c>
    </row>
    <row r="19" spans="3:17" x14ac:dyDescent="0.25">
      <c r="C19" s="27"/>
      <c r="D19" s="1">
        <v>13</v>
      </c>
      <c r="E19" s="20">
        <v>110.43478399999999</v>
      </c>
      <c r="F19" s="3"/>
      <c r="G19" s="3"/>
      <c r="H19" s="3">
        <f t="shared" si="0"/>
        <v>0.96141105063278243</v>
      </c>
      <c r="J19" s="3"/>
      <c r="K19" s="3"/>
      <c r="L19" s="3"/>
      <c r="M19" s="14">
        <f t="shared" si="1"/>
        <v>114.53249106666664</v>
      </c>
      <c r="O19" s="1">
        <f t="shared" si="3"/>
        <v>114.61051794550521</v>
      </c>
      <c r="P19" s="1">
        <f t="shared" si="2"/>
        <v>-4.1757339455052147</v>
      </c>
      <c r="Q19" s="1">
        <f t="shared" si="4"/>
        <v>17.436753983644547</v>
      </c>
    </row>
    <row r="20" spans="3:17" x14ac:dyDescent="0.25">
      <c r="C20" s="27"/>
      <c r="D20" s="1">
        <v>14</v>
      </c>
      <c r="E20" s="20">
        <v>84.347824000000003</v>
      </c>
      <c r="F20" s="3"/>
      <c r="G20" s="3"/>
      <c r="H20" s="3">
        <f t="shared" si="0"/>
        <v>0.7343060506228638</v>
      </c>
      <c r="J20" s="3"/>
      <c r="K20" s="3"/>
      <c r="L20" s="3"/>
      <c r="M20" s="14">
        <f t="shared" si="1"/>
        <v>112.57017213333333</v>
      </c>
      <c r="O20" s="1">
        <f t="shared" si="3"/>
        <v>114.70667984632472</v>
      </c>
      <c r="P20" s="1">
        <f t="shared" si="2"/>
        <v>-30.358855846324715</v>
      </c>
      <c r="Q20" s="1">
        <f t="shared" si="4"/>
        <v>921.6601282979243</v>
      </c>
    </row>
    <row r="21" spans="3:17" x14ac:dyDescent="0.25">
      <c r="C21" s="27"/>
      <c r="D21" s="1">
        <v>15</v>
      </c>
      <c r="E21" s="20">
        <v>79.130430000000004</v>
      </c>
      <c r="F21" s="3">
        <f>V3</f>
        <v>113.36041323485156</v>
      </c>
      <c r="G21" s="3">
        <f>V2+0.1</f>
        <v>0.19616190081951068</v>
      </c>
      <c r="H21" s="3">
        <f t="shared" si="0"/>
        <v>0.68888503320949901</v>
      </c>
      <c r="J21" s="7"/>
      <c r="K21" s="7"/>
      <c r="L21" s="3"/>
      <c r="M21" s="14">
        <f t="shared" si="1"/>
        <v>117.61365053333331</v>
      </c>
      <c r="O21" s="1">
        <f t="shared" si="3"/>
        <v>114.80284174714423</v>
      </c>
      <c r="P21" s="1">
        <f t="shared" si="2"/>
        <v>-35.672411747144224</v>
      </c>
      <c r="Q21" s="1">
        <f t="shared" si="4"/>
        <v>1272.5209598577933</v>
      </c>
    </row>
    <row r="22" spans="3:17" x14ac:dyDescent="0.25">
      <c r="C22" s="27"/>
      <c r="D22" s="1">
        <v>16</v>
      </c>
      <c r="E22" s="20">
        <v>180.86957000000001</v>
      </c>
      <c r="F22" s="6">
        <f t="shared" ref="F22:F53" si="5">$P$2*(E22/H7)+(1-$P$2)*(F21+G21)</f>
        <v>112.64767670129336</v>
      </c>
      <c r="G22" s="11">
        <f>$P$3*(F22-F21)+(1-$P$3)*G21</f>
        <v>0.19420413828855512</v>
      </c>
      <c r="H22" s="6">
        <f t="shared" ref="H22:H53" si="6">$P$4*(E22/F22)+(1-$P$4)*H7</f>
        <v>1.6056218405605462</v>
      </c>
      <c r="I22" s="16">
        <f>(F22+(G22))*H7</f>
        <v>181.18138840596336</v>
      </c>
      <c r="J22" s="7">
        <f t="shared" ref="J22:J53" si="7">E22-I22</f>
        <v>-0.31181840596335064</v>
      </c>
      <c r="K22" s="7">
        <f t="shared" ref="K22:K23" si="8">ABS(J22)</f>
        <v>0.31181840596335064</v>
      </c>
      <c r="L22" s="3"/>
      <c r="M22" s="14">
        <f t="shared" si="1"/>
        <v>115.13828853333332</v>
      </c>
      <c r="O22" s="1">
        <f t="shared" si="3"/>
        <v>114.89900364796374</v>
      </c>
      <c r="P22" s="1">
        <f t="shared" si="2"/>
        <v>65.970566352036272</v>
      </c>
      <c r="Q22" s="1">
        <f t="shared" si="4"/>
        <v>4352.1156248084208</v>
      </c>
    </row>
    <row r="23" spans="3:17" x14ac:dyDescent="0.25">
      <c r="C23" s="27"/>
      <c r="D23" s="1">
        <v>17</v>
      </c>
      <c r="E23" s="20">
        <v>80</v>
      </c>
      <c r="F23" s="6">
        <f t="shared" si="5"/>
        <v>119.82003756609008</v>
      </c>
      <c r="G23" s="11">
        <f t="shared" ref="G23:G86" si="9">$P$3*(F23-F22)+(1-$P$3)*G22</f>
        <v>0.20923505181812538</v>
      </c>
      <c r="H23" s="6">
        <f t="shared" si="6"/>
        <v>0.6676679595920989</v>
      </c>
      <c r="I23" s="16">
        <f t="shared" ref="I23:I86" si="10">(F23+(G23))*H8</f>
        <v>80.139699540122564</v>
      </c>
      <c r="J23" s="7">
        <f t="shared" si="7"/>
        <v>-0.1396995401225638</v>
      </c>
      <c r="K23" s="7">
        <f t="shared" si="8"/>
        <v>0.1396995401225638</v>
      </c>
      <c r="L23" s="3"/>
      <c r="M23" s="14">
        <f t="shared" si="1"/>
        <v>108.88031719999999</v>
      </c>
      <c r="O23" s="1">
        <f t="shared" si="3"/>
        <v>114.99516554878325</v>
      </c>
      <c r="P23" s="1">
        <f t="shared" si="2"/>
        <v>-34.995165548783248</v>
      </c>
      <c r="Q23" s="1">
        <f t="shared" si="4"/>
        <v>1224.6616117867459</v>
      </c>
    </row>
    <row r="24" spans="3:17" x14ac:dyDescent="0.25">
      <c r="C24" s="27"/>
      <c r="D24" s="1">
        <v>18</v>
      </c>
      <c r="E24" s="20">
        <v>158.26086000000001</v>
      </c>
      <c r="F24" s="6">
        <f t="shared" si="5"/>
        <v>109.85975923102941</v>
      </c>
      <c r="G24" s="11">
        <f t="shared" si="9"/>
        <v>0.18732997253331668</v>
      </c>
      <c r="H24" s="6">
        <f t="shared" si="6"/>
        <v>1.4405716989346897</v>
      </c>
      <c r="I24" s="16">
        <f t="shared" si="10"/>
        <v>158.53072225679372</v>
      </c>
      <c r="J24" s="7">
        <f t="shared" si="7"/>
        <v>-0.26986225679371501</v>
      </c>
      <c r="K24" s="7">
        <f>ABS(J24)</f>
        <v>0.26986225679371501</v>
      </c>
      <c r="M24" s="14">
        <f t="shared" si="1"/>
        <v>110.81365053333333</v>
      </c>
      <c r="O24" s="1">
        <f t="shared" si="3"/>
        <v>115.09132744960276</v>
      </c>
      <c r="P24" s="1">
        <f t="shared" si="2"/>
        <v>43.16953255039725</v>
      </c>
      <c r="Q24" s="1">
        <f t="shared" si="4"/>
        <v>1863.6085406198076</v>
      </c>
    </row>
    <row r="25" spans="3:17" x14ac:dyDescent="0.25">
      <c r="C25" s="27"/>
      <c r="D25" s="1">
        <v>19</v>
      </c>
      <c r="E25" s="20">
        <v>103.478264</v>
      </c>
      <c r="F25" s="6">
        <f t="shared" si="5"/>
        <v>314.97382519393494</v>
      </c>
      <c r="G25" s="11">
        <f t="shared" si="9"/>
        <v>0.62874110290638008</v>
      </c>
      <c r="H25" s="6">
        <f t="shared" si="6"/>
        <v>0.32852972445023521</v>
      </c>
      <c r="I25" s="16">
        <f t="shared" si="10"/>
        <v>103.68482414128835</v>
      </c>
      <c r="J25" s="7">
        <f t="shared" si="7"/>
        <v>-0.20656014128834954</v>
      </c>
      <c r="K25" s="7">
        <f t="shared" ref="K25:K88" si="11">ABS(J25)</f>
        <v>0.20656014128834954</v>
      </c>
      <c r="M25" s="14">
        <f t="shared" si="1"/>
        <v>105.46292653333333</v>
      </c>
      <c r="O25" s="1">
        <f t="shared" si="3"/>
        <v>115.18748935042227</v>
      </c>
      <c r="P25" s="1">
        <f t="shared" si="2"/>
        <v>-11.709225350422273</v>
      </c>
      <c r="Q25" s="1">
        <f t="shared" si="4"/>
        <v>137.10595830697159</v>
      </c>
    </row>
    <row r="26" spans="3:17" x14ac:dyDescent="0.25">
      <c r="C26" s="27"/>
      <c r="D26" s="1">
        <v>20</v>
      </c>
      <c r="E26" s="20">
        <v>67.826089999999994</v>
      </c>
      <c r="F26" s="6">
        <f t="shared" si="5"/>
        <v>84.133611844105744</v>
      </c>
      <c r="G26" s="11">
        <f t="shared" si="9"/>
        <v>0.13015817112117184</v>
      </c>
      <c r="H26" s="6">
        <f t="shared" si="6"/>
        <v>0.80617114270188994</v>
      </c>
      <c r="I26" s="16">
        <f t="shared" si="10"/>
        <v>67.931019761544746</v>
      </c>
      <c r="J26" s="7">
        <f t="shared" si="7"/>
        <v>-0.10492976154475286</v>
      </c>
      <c r="K26" s="7">
        <f t="shared" si="11"/>
        <v>0.10492976154475286</v>
      </c>
      <c r="M26" s="14">
        <f t="shared" si="1"/>
        <v>109.63104226666665</v>
      </c>
      <c r="O26" s="1">
        <f t="shared" si="3"/>
        <v>115.28365125124178</v>
      </c>
      <c r="P26" s="1">
        <f t="shared" si="2"/>
        <v>-47.457561251241785</v>
      </c>
      <c r="Q26" s="1">
        <f t="shared" si="4"/>
        <v>2252.2201199153656</v>
      </c>
    </row>
    <row r="27" spans="3:17" x14ac:dyDescent="0.25">
      <c r="C27" s="27"/>
      <c r="D27" s="1">
        <v>21</v>
      </c>
      <c r="E27" s="20">
        <v>92.441863999999995</v>
      </c>
      <c r="F27" s="6">
        <f t="shared" si="5"/>
        <v>98.801052861765442</v>
      </c>
      <c r="G27" s="11">
        <f t="shared" si="9"/>
        <v>0.16147140325182457</v>
      </c>
      <c r="H27" s="6">
        <f t="shared" si="6"/>
        <v>0.93563642615567355</v>
      </c>
      <c r="I27" s="16">
        <f t="shared" si="10"/>
        <v>92.592942526664871</v>
      </c>
      <c r="J27" s="7">
        <f t="shared" si="7"/>
        <v>-0.15107852666487531</v>
      </c>
      <c r="K27" s="7">
        <f t="shared" si="11"/>
        <v>0.15107852666487531</v>
      </c>
      <c r="M27" s="14">
        <f t="shared" si="1"/>
        <v>115.64263626666666</v>
      </c>
      <c r="O27" s="1">
        <f t="shared" si="3"/>
        <v>115.37981315206129</v>
      </c>
      <c r="P27" s="1">
        <f t="shared" si="2"/>
        <v>-22.937949152061293</v>
      </c>
      <c r="Q27" s="1">
        <f t="shared" si="4"/>
        <v>526.1495113025494</v>
      </c>
    </row>
    <row r="28" spans="3:17" x14ac:dyDescent="0.25">
      <c r="C28" s="27"/>
      <c r="D28" s="1">
        <v>22</v>
      </c>
      <c r="E28" s="20">
        <v>122.96512</v>
      </c>
      <c r="F28" s="6">
        <f t="shared" si="5"/>
        <v>201.29637989908116</v>
      </c>
      <c r="G28" s="11">
        <f t="shared" si="9"/>
        <v>0.38189799948174863</v>
      </c>
      <c r="H28" s="6">
        <f t="shared" si="6"/>
        <v>0.61086602780262567</v>
      </c>
      <c r="I28" s="16">
        <f t="shared" si="10"/>
        <v>123.19840851396917</v>
      </c>
      <c r="J28" s="7">
        <f t="shared" si="7"/>
        <v>-0.23328851396917116</v>
      </c>
      <c r="K28" s="7">
        <f t="shared" si="11"/>
        <v>0.23328851396917116</v>
      </c>
      <c r="M28" s="14">
        <f t="shared" si="1"/>
        <v>126.47984533333333</v>
      </c>
      <c r="O28" s="1">
        <f t="shared" si="3"/>
        <v>115.4759750528808</v>
      </c>
      <c r="P28" s="1">
        <f t="shared" si="2"/>
        <v>7.4891449471192004</v>
      </c>
      <c r="Q28" s="1">
        <f t="shared" si="4"/>
        <v>56.087292038961053</v>
      </c>
    </row>
    <row r="29" spans="3:17" x14ac:dyDescent="0.25">
      <c r="C29" s="27"/>
      <c r="D29" s="1">
        <v>23</v>
      </c>
      <c r="E29" s="20">
        <v>121.22093</v>
      </c>
      <c r="F29" s="6">
        <f t="shared" si="5"/>
        <v>83.491170203940314</v>
      </c>
      <c r="G29" s="11">
        <f t="shared" si="9"/>
        <v>0.12732358023438733</v>
      </c>
      <c r="H29" s="6">
        <f t="shared" si="6"/>
        <v>1.4519011975026677</v>
      </c>
      <c r="I29" s="16">
        <f t="shared" si="10"/>
        <v>121.40579125861267</v>
      </c>
      <c r="J29" s="7">
        <f t="shared" si="7"/>
        <v>-0.18486125861267055</v>
      </c>
      <c r="K29" s="7">
        <f t="shared" si="11"/>
        <v>0.18486125861267055</v>
      </c>
      <c r="M29" s="14">
        <f t="shared" si="1"/>
        <v>123.81550399999999</v>
      </c>
      <c r="O29" s="1">
        <f t="shared" si="3"/>
        <v>115.57213695370031</v>
      </c>
      <c r="P29" s="1">
        <f t="shared" si="2"/>
        <v>5.6487930462996871</v>
      </c>
      <c r="Q29" s="1">
        <f t="shared" si="4"/>
        <v>31.908862879923699</v>
      </c>
    </row>
    <row r="30" spans="3:17" x14ac:dyDescent="0.25">
      <c r="C30" s="27"/>
      <c r="D30" s="1">
        <v>24</v>
      </c>
      <c r="E30" s="20">
        <v>86.337209999999999</v>
      </c>
      <c r="F30" s="6">
        <f t="shared" si="5"/>
        <v>62.017708333607672</v>
      </c>
      <c r="G30" s="11">
        <f t="shared" si="9"/>
        <v>8.0795599995006698E-2</v>
      </c>
      <c r="H30" s="6">
        <f t="shared" si="6"/>
        <v>1.3921380250874811</v>
      </c>
      <c r="I30" s="16">
        <f t="shared" si="10"/>
        <v>86.449688627012804</v>
      </c>
      <c r="J30" s="7">
        <f t="shared" si="7"/>
        <v>-0.11247862701280553</v>
      </c>
      <c r="K30" s="7">
        <f t="shared" si="11"/>
        <v>0.11247862701280553</v>
      </c>
      <c r="M30" s="14">
        <f t="shared" si="1"/>
        <v>119.33410866666667</v>
      </c>
      <c r="O30" s="1">
        <f t="shared" si="3"/>
        <v>115.66829885451982</v>
      </c>
      <c r="P30" s="1">
        <f t="shared" si="2"/>
        <v>-29.33108885451982</v>
      </c>
      <c r="Q30" s="1">
        <f t="shared" si="4"/>
        <v>860.31277339173676</v>
      </c>
    </row>
    <row r="31" spans="3:17" x14ac:dyDescent="0.25">
      <c r="C31" s="27"/>
      <c r="D31" s="1">
        <v>25</v>
      </c>
      <c r="E31" s="20">
        <v>82.848839999999996</v>
      </c>
      <c r="F31" s="6">
        <f t="shared" si="5"/>
        <v>36.973396239372306</v>
      </c>
      <c r="G31" s="11">
        <f t="shared" si="9"/>
        <v>2.667624785456061E-2</v>
      </c>
      <c r="H31" s="6">
        <f t="shared" si="6"/>
        <v>2.2407689968111653</v>
      </c>
      <c r="I31" s="16">
        <f t="shared" si="10"/>
        <v>82.908615309143741</v>
      </c>
      <c r="J31" s="7">
        <f t="shared" si="7"/>
        <v>-5.9775309143745403E-2</v>
      </c>
      <c r="K31" s="7">
        <f t="shared" si="11"/>
        <v>5.9775309143745403E-2</v>
      </c>
      <c r="M31" s="14">
        <f t="shared" si="1"/>
        <v>120.511628</v>
      </c>
      <c r="O31" s="1">
        <f t="shared" si="3"/>
        <v>115.76446075533933</v>
      </c>
      <c r="P31" s="1">
        <f t="shared" si="2"/>
        <v>-32.915620755339333</v>
      </c>
      <c r="Q31" s="1">
        <f t="shared" si="4"/>
        <v>1083.4380897093254</v>
      </c>
    </row>
    <row r="32" spans="3:17" x14ac:dyDescent="0.25">
      <c r="C32" s="27"/>
      <c r="D32" s="1">
        <v>26</v>
      </c>
      <c r="E32" s="20">
        <v>164.82558</v>
      </c>
      <c r="F32" s="6">
        <f t="shared" si="5"/>
        <v>247.42100977382972</v>
      </c>
      <c r="G32" s="11">
        <f t="shared" si="9"/>
        <v>0.47992185942865306</v>
      </c>
      <c r="H32" s="6">
        <f t="shared" si="6"/>
        <v>0.66617455061988828</v>
      </c>
      <c r="I32" s="16">
        <f t="shared" si="10"/>
        <v>165.14529172903752</v>
      </c>
      <c r="J32" s="7">
        <f t="shared" si="7"/>
        <v>-0.31971172903752176</v>
      </c>
      <c r="K32" s="7">
        <f t="shared" si="11"/>
        <v>0.31971172903752176</v>
      </c>
      <c r="M32" s="14">
        <f t="shared" si="1"/>
        <v>120.25503866666666</v>
      </c>
      <c r="O32" s="1">
        <f t="shared" si="3"/>
        <v>115.86062265615884</v>
      </c>
      <c r="P32" s="1">
        <f t="shared" si="2"/>
        <v>48.964957343841164</v>
      </c>
      <c r="Q32" s="1">
        <f t="shared" si="4"/>
        <v>2397.5670476841847</v>
      </c>
    </row>
    <row r="33" spans="1:17" x14ac:dyDescent="0.25">
      <c r="C33" s="28" t="s">
        <v>22</v>
      </c>
      <c r="D33" s="1">
        <v>27</v>
      </c>
      <c r="E33" s="4">
        <v>183</v>
      </c>
      <c r="F33" s="7">
        <f t="shared" si="5"/>
        <v>389.90069810192864</v>
      </c>
      <c r="G33" s="10">
        <f>$P$3*(F33-F32)+(1-$P$3)*G32</f>
        <v>0.78578862262441085</v>
      </c>
      <c r="H33" s="7">
        <f t="shared" si="6"/>
        <v>0.46935027531589535</v>
      </c>
      <c r="I33" s="16">
        <f t="shared" si="10"/>
        <v>183.36881010636884</v>
      </c>
      <c r="J33" s="7">
        <f t="shared" si="7"/>
        <v>-0.36881010636884071</v>
      </c>
      <c r="K33" s="7">
        <f t="shared" si="11"/>
        <v>0.36881010636884071</v>
      </c>
      <c r="M33" s="14">
        <f t="shared" si="1"/>
        <v>114.26666666666667</v>
      </c>
      <c r="O33" s="1">
        <f t="shared" si="3"/>
        <v>115.95678455697835</v>
      </c>
      <c r="P33" s="1">
        <f t="shared" si="2"/>
        <v>67.043215443021651</v>
      </c>
      <c r="Q33" s="1">
        <f t="shared" si="4"/>
        <v>4494.7927369394165</v>
      </c>
    </row>
    <row r="34" spans="1:17" x14ac:dyDescent="0.25">
      <c r="C34" s="28"/>
      <c r="D34" s="1">
        <v>28</v>
      </c>
      <c r="E34" s="5">
        <v>81</v>
      </c>
      <c r="F34" s="7">
        <f t="shared" si="5"/>
        <v>84.251163897780629</v>
      </c>
      <c r="G34" s="10">
        <f t="shared" si="9"/>
        <v>0.12572852074704954</v>
      </c>
      <c r="H34" s="7">
        <f t="shared" si="6"/>
        <v>0.9614110506327822</v>
      </c>
      <c r="I34" s="16">
        <f t="shared" si="10"/>
        <v>81.120876789225946</v>
      </c>
      <c r="J34" s="7">
        <f t="shared" si="7"/>
        <v>-0.12087678922594591</v>
      </c>
      <c r="K34" s="7">
        <f t="shared" si="11"/>
        <v>0.12087678922594591</v>
      </c>
      <c r="M34" s="14">
        <f t="shared" si="1"/>
        <v>113.6</v>
      </c>
      <c r="O34" s="1">
        <f t="shared" si="3"/>
        <v>116.05294645779786</v>
      </c>
      <c r="P34" s="1">
        <f t="shared" si="2"/>
        <v>-35.052946457797859</v>
      </c>
      <c r="Q34" s="1">
        <f t="shared" si="4"/>
        <v>1228.7090553732435</v>
      </c>
    </row>
    <row r="35" spans="1:17" x14ac:dyDescent="0.25">
      <c r="C35" s="28"/>
      <c r="D35" s="1">
        <v>29</v>
      </c>
      <c r="E35" s="5">
        <v>160</v>
      </c>
      <c r="F35" s="7">
        <f t="shared" si="5"/>
        <v>217.89279805645404</v>
      </c>
      <c r="G35" s="10">
        <f t="shared" si="9"/>
        <v>0.41332109155337526</v>
      </c>
      <c r="H35" s="7">
        <f t="shared" si="6"/>
        <v>0.73430605062286392</v>
      </c>
      <c r="I35" s="16">
        <f t="shared" si="10"/>
        <v>160.30350417837766</v>
      </c>
      <c r="J35" s="7">
        <f t="shared" si="7"/>
        <v>-0.30350417837766486</v>
      </c>
      <c r="K35" s="7">
        <f t="shared" si="11"/>
        <v>0.30350417837766486</v>
      </c>
      <c r="M35" s="14">
        <f t="shared" si="1"/>
        <v>113.06666666666666</v>
      </c>
      <c r="O35" s="1">
        <f t="shared" si="3"/>
        <v>116.14910835861737</v>
      </c>
      <c r="P35" s="1">
        <f t="shared" si="2"/>
        <v>43.850891641382631</v>
      </c>
      <c r="Q35" s="1">
        <f t="shared" si="4"/>
        <v>1922.9006977442812</v>
      </c>
    </row>
    <row r="36" spans="1:17" x14ac:dyDescent="0.25">
      <c r="C36" s="28"/>
      <c r="D36" s="1">
        <v>30</v>
      </c>
      <c r="E36" s="5">
        <v>42</v>
      </c>
      <c r="F36" s="7">
        <f t="shared" si="5"/>
        <v>60.968083171037996</v>
      </c>
      <c r="G36" s="10">
        <f t="shared" si="9"/>
        <v>7.4415775096596803E-2</v>
      </c>
      <c r="H36" s="7">
        <f t="shared" si="6"/>
        <v>0.6888850332094989</v>
      </c>
      <c r="I36" s="16">
        <f t="shared" si="10"/>
        <v>42.05126391369874</v>
      </c>
      <c r="J36" s="7">
        <f t="shared" si="7"/>
        <v>-5.1263913698740282E-2</v>
      </c>
      <c r="K36" s="7">
        <f t="shared" si="11"/>
        <v>5.1263913698740282E-2</v>
      </c>
      <c r="M36" s="14">
        <f t="shared" si="1"/>
        <v>112.53333333333333</v>
      </c>
      <c r="O36" s="1">
        <f t="shared" si="3"/>
        <v>116.24527025943688</v>
      </c>
      <c r="P36" s="1">
        <f t="shared" si="2"/>
        <v>-74.245270259436879</v>
      </c>
      <c r="Q36" s="1">
        <f t="shared" si="4"/>
        <v>5512.3601558968221</v>
      </c>
    </row>
    <row r="37" spans="1:17" x14ac:dyDescent="0.25">
      <c r="C37" s="28"/>
      <c r="D37" s="1">
        <v>31</v>
      </c>
      <c r="E37" s="5">
        <v>87</v>
      </c>
      <c r="F37" s="7">
        <f t="shared" si="5"/>
        <v>54.184614211293372</v>
      </c>
      <c r="G37" s="10">
        <f t="shared" si="9"/>
        <v>5.9643926815576703E-2</v>
      </c>
      <c r="H37" s="7">
        <f t="shared" si="6"/>
        <v>1.6056218405605462</v>
      </c>
      <c r="I37" s="16">
        <f t="shared" si="10"/>
        <v>87.095765591551881</v>
      </c>
      <c r="J37" s="7">
        <f t="shared" si="7"/>
        <v>-9.5765591551881357E-2</v>
      </c>
      <c r="K37" s="7">
        <f t="shared" si="11"/>
        <v>9.5765591551881357E-2</v>
      </c>
      <c r="M37" s="14">
        <f t="shared" si="1"/>
        <v>115.73333333333333</v>
      </c>
      <c r="O37" s="1">
        <f t="shared" si="3"/>
        <v>116.34143216025639</v>
      </c>
      <c r="P37" s="1">
        <f t="shared" si="2"/>
        <v>-29.341432160256389</v>
      </c>
      <c r="Q37" s="1">
        <f t="shared" si="4"/>
        <v>860.91964121492788</v>
      </c>
    </row>
    <row r="38" spans="1:17" x14ac:dyDescent="0.25">
      <c r="C38" s="28"/>
      <c r="D38" s="1">
        <v>32</v>
      </c>
      <c r="E38" s="5">
        <v>109</v>
      </c>
      <c r="F38" s="7">
        <f t="shared" si="5"/>
        <v>163.2548011837977</v>
      </c>
      <c r="G38" s="10">
        <f t="shared" si="9"/>
        <v>0.29445207322864225</v>
      </c>
      <c r="H38" s="7">
        <f t="shared" si="6"/>
        <v>0.66766795959209901</v>
      </c>
      <c r="I38" s="16">
        <f t="shared" si="10"/>
        <v>109.19659621493022</v>
      </c>
      <c r="J38" s="7">
        <f t="shared" si="7"/>
        <v>-0.19659621493022428</v>
      </c>
      <c r="K38" s="7">
        <f t="shared" si="11"/>
        <v>0.19659621493022428</v>
      </c>
      <c r="M38" s="14">
        <f t="shared" si="1"/>
        <v>114.13333333333334</v>
      </c>
      <c r="O38" s="1">
        <f t="shared" si="3"/>
        <v>116.4375940610759</v>
      </c>
      <c r="P38" s="1">
        <f t="shared" si="2"/>
        <v>-7.4375940610758988</v>
      </c>
      <c r="Q38" s="1">
        <f t="shared" si="4"/>
        <v>55.317805417351479</v>
      </c>
    </row>
    <row r="39" spans="1:17" x14ac:dyDescent="0.25">
      <c r="C39" s="28"/>
      <c r="D39" s="1">
        <v>33</v>
      </c>
      <c r="E39" s="5">
        <v>78</v>
      </c>
      <c r="F39" s="7">
        <f t="shared" si="5"/>
        <v>54.145170322089086</v>
      </c>
      <c r="G39" s="10">
        <f t="shared" si="9"/>
        <v>5.879624392773608E-2</v>
      </c>
      <c r="H39" s="7">
        <f t="shared" si="6"/>
        <v>1.4405716989346895</v>
      </c>
      <c r="I39" s="16">
        <f t="shared" si="10"/>
        <v>78.084700205005973</v>
      </c>
      <c r="J39" s="7">
        <f t="shared" si="7"/>
        <v>-8.4700205005972862E-2</v>
      </c>
      <c r="K39" s="7">
        <f t="shared" si="11"/>
        <v>8.4700205005972862E-2</v>
      </c>
      <c r="M39" s="14">
        <f t="shared" ref="M39:M68" si="12">AVERAGE(E39:E53)</f>
        <v>113.73333333333333</v>
      </c>
      <c r="O39" s="1">
        <f t="shared" si="3"/>
        <v>116.53375596189542</v>
      </c>
      <c r="P39" s="1">
        <f t="shared" si="2"/>
        <v>-38.533755961895423</v>
      </c>
      <c r="Q39" s="1">
        <f t="shared" si="4"/>
        <v>1484.8503485309111</v>
      </c>
    </row>
    <row r="40" spans="1:17" x14ac:dyDescent="0.25">
      <c r="C40" s="28"/>
      <c r="D40" s="1">
        <v>34</v>
      </c>
      <c r="E40" s="5">
        <v>166</v>
      </c>
      <c r="F40" s="7">
        <f t="shared" si="5"/>
        <v>505.2815244580562</v>
      </c>
      <c r="G40" s="10">
        <f t="shared" si="9"/>
        <v>1.0304149727030802</v>
      </c>
      <c r="H40" s="7">
        <f t="shared" si="6"/>
        <v>0.32852972445023526</v>
      </c>
      <c r="I40" s="16">
        <f t="shared" si="10"/>
        <v>166.3385219470515</v>
      </c>
      <c r="J40" s="9">
        <f t="shared" si="7"/>
        <v>-0.33852194705150396</v>
      </c>
      <c r="K40" s="9">
        <f t="shared" si="11"/>
        <v>0.33852194705150396</v>
      </c>
      <c r="M40" s="14">
        <f t="shared" si="12"/>
        <v>117.46666666666667</v>
      </c>
      <c r="O40" s="1">
        <f t="shared" si="3"/>
        <v>116.62991786271493</v>
      </c>
      <c r="P40" s="1">
        <f t="shared" ref="P40:P70" si="13">E40-O40</f>
        <v>49.370082137285067</v>
      </c>
      <c r="Q40" s="1">
        <f t="shared" si="4"/>
        <v>2437.4050102422739</v>
      </c>
    </row>
    <row r="41" spans="1:17" x14ac:dyDescent="0.25">
      <c r="C41" s="28"/>
      <c r="D41" s="1">
        <v>35</v>
      </c>
      <c r="E41" s="5">
        <v>158</v>
      </c>
      <c r="F41" s="7">
        <f t="shared" si="5"/>
        <v>195.98816136045454</v>
      </c>
      <c r="G41" s="10">
        <f t="shared" si="9"/>
        <v>0.36197915832457772</v>
      </c>
      <c r="H41" s="7">
        <f t="shared" si="6"/>
        <v>0.80617114270188983</v>
      </c>
      <c r="I41" s="16">
        <f t="shared" si="10"/>
        <v>158.29181715170083</v>
      </c>
      <c r="J41" s="9">
        <f t="shared" si="7"/>
        <v>-0.29181715170082612</v>
      </c>
      <c r="K41" s="9">
        <f t="shared" si="11"/>
        <v>0.29181715170082612</v>
      </c>
      <c r="M41" s="14">
        <f t="shared" si="12"/>
        <v>115.13333333333334</v>
      </c>
      <c r="O41" s="1">
        <f t="shared" si="3"/>
        <v>116.72607976353444</v>
      </c>
      <c r="P41" s="1">
        <f t="shared" si="13"/>
        <v>41.273920236465557</v>
      </c>
      <c r="Q41" s="1">
        <f t="shared" si="4"/>
        <v>1703.5364916861211</v>
      </c>
    </row>
    <row r="42" spans="1:17" x14ac:dyDescent="0.25">
      <c r="C42" s="28"/>
      <c r="D42" s="1">
        <v>36</v>
      </c>
      <c r="E42" s="5">
        <v>255</v>
      </c>
      <c r="F42" s="7">
        <f t="shared" si="5"/>
        <v>272.54176181205281</v>
      </c>
      <c r="G42" s="10">
        <f t="shared" si="9"/>
        <v>0.52609551687332456</v>
      </c>
      <c r="H42" s="7">
        <f t="shared" si="6"/>
        <v>0.93563642615567388</v>
      </c>
      <c r="I42" s="16">
        <f t="shared" si="10"/>
        <v>255.49223412922382</v>
      </c>
      <c r="J42" s="9">
        <f t="shared" si="7"/>
        <v>-0.49223412922381726</v>
      </c>
      <c r="K42" s="9">
        <f t="shared" si="11"/>
        <v>0.49223412922381726</v>
      </c>
      <c r="M42" s="14">
        <f t="shared" si="12"/>
        <v>110.93333333333334</v>
      </c>
      <c r="O42" s="1">
        <f t="shared" si="3"/>
        <v>116.82224166435395</v>
      </c>
      <c r="P42" s="1">
        <f t="shared" si="13"/>
        <v>138.17775833564605</v>
      </c>
      <c r="Q42" s="1">
        <f t="shared" si="4"/>
        <v>19093.092898664199</v>
      </c>
    </row>
    <row r="43" spans="1:17" x14ac:dyDescent="0.25">
      <c r="C43" s="28"/>
      <c r="D43" s="1">
        <v>37</v>
      </c>
      <c r="E43" s="5">
        <v>83</v>
      </c>
      <c r="F43" s="7">
        <f t="shared" si="5"/>
        <v>135.87267293053293</v>
      </c>
      <c r="G43" s="10">
        <f t="shared" si="9"/>
        <v>0.23057779862946987</v>
      </c>
      <c r="H43" s="7">
        <f t="shared" si="6"/>
        <v>0.61086602780262578</v>
      </c>
      <c r="I43" s="16">
        <f t="shared" si="10"/>
        <v>83.140852143948251</v>
      </c>
      <c r="J43" s="9">
        <f t="shared" si="7"/>
        <v>-0.1408521439482513</v>
      </c>
      <c r="K43" s="9">
        <f t="shared" si="11"/>
        <v>0.1408521439482513</v>
      </c>
      <c r="M43" s="14">
        <f t="shared" si="12"/>
        <v>100.26666666666667</v>
      </c>
      <c r="O43" s="1">
        <f t="shared" si="3"/>
        <v>116.91840356517346</v>
      </c>
      <c r="P43" s="1">
        <f t="shared" si="13"/>
        <v>-33.918403565173463</v>
      </c>
      <c r="Q43" s="1">
        <f t="shared" si="4"/>
        <v>1150.4581004099718</v>
      </c>
    </row>
    <row r="44" spans="1:17" x14ac:dyDescent="0.25">
      <c r="A44" s="1">
        <f>AVERAGE(E7:E21)</f>
        <v>114.86739613333332</v>
      </c>
      <c r="C44" s="28"/>
      <c r="D44" s="1">
        <v>38</v>
      </c>
      <c r="E44" s="5">
        <v>54</v>
      </c>
      <c r="F44" s="7">
        <f t="shared" si="5"/>
        <v>37.192613445654793</v>
      </c>
      <c r="G44" s="10">
        <f t="shared" si="9"/>
        <v>1.7524797037308693E-2</v>
      </c>
      <c r="H44" s="7">
        <f t="shared" si="6"/>
        <v>1.4519011975026674</v>
      </c>
      <c r="I44" s="16">
        <f t="shared" si="10"/>
        <v>54.025444273804474</v>
      </c>
      <c r="J44" s="9">
        <f t="shared" si="7"/>
        <v>-2.5444273804474449E-2</v>
      </c>
      <c r="K44" s="9">
        <f t="shared" si="11"/>
        <v>2.5444273804474449E-2</v>
      </c>
      <c r="M44" s="14">
        <f t="shared" si="12"/>
        <v>106.2</v>
      </c>
      <c r="O44" s="1">
        <f t="shared" si="3"/>
        <v>117.01456546599297</v>
      </c>
      <c r="P44" s="1">
        <f t="shared" si="13"/>
        <v>-63.014565465992973</v>
      </c>
      <c r="Q44" s="1">
        <f t="shared" si="4"/>
        <v>3970.8354608679142</v>
      </c>
    </row>
    <row r="45" spans="1:17" x14ac:dyDescent="0.25">
      <c r="C45" s="28"/>
      <c r="D45" s="1">
        <v>39</v>
      </c>
      <c r="E45" s="5">
        <v>104</v>
      </c>
      <c r="F45" s="7">
        <f t="shared" si="5"/>
        <v>74.705236209221923</v>
      </c>
      <c r="G45" s="10">
        <f t="shared" si="9"/>
        <v>9.8289044302888803E-2</v>
      </c>
      <c r="H45" s="7">
        <f t="shared" si="6"/>
        <v>1.3921380250874813</v>
      </c>
      <c r="I45" s="16">
        <f t="shared" si="10"/>
        <v>104.13683191602355</v>
      </c>
      <c r="J45" s="9">
        <f t="shared" si="7"/>
        <v>-0.13683191602355294</v>
      </c>
      <c r="K45" s="9">
        <f t="shared" si="11"/>
        <v>0.13683191602355294</v>
      </c>
      <c r="M45" s="14">
        <f t="shared" si="12"/>
        <v>112.46666666666667</v>
      </c>
      <c r="O45" s="1">
        <f t="shared" si="3"/>
        <v>117.11072736681248</v>
      </c>
      <c r="P45" s="1">
        <f t="shared" si="13"/>
        <v>-13.110727366812483</v>
      </c>
      <c r="Q45" s="1">
        <f t="shared" si="4"/>
        <v>171.8911720868858</v>
      </c>
    </row>
    <row r="46" spans="1:17" x14ac:dyDescent="0.25">
      <c r="C46" s="28"/>
      <c r="D46" s="1">
        <v>40</v>
      </c>
      <c r="E46" s="5">
        <v>79</v>
      </c>
      <c r="F46" s="7">
        <f t="shared" si="5"/>
        <v>35.255753766865205</v>
      </c>
      <c r="G46" s="10">
        <f t="shared" si="9"/>
        <v>1.3103348882052293E-2</v>
      </c>
      <c r="H46" s="7">
        <f t="shared" si="6"/>
        <v>2.2407689968111653</v>
      </c>
      <c r="I46" s="16">
        <f t="shared" si="10"/>
        <v>79.029361577929308</v>
      </c>
      <c r="J46" s="9">
        <f t="shared" si="7"/>
        <v>-2.9361577929307714E-2</v>
      </c>
      <c r="K46" s="9">
        <f t="shared" si="11"/>
        <v>2.9361577929307714E-2</v>
      </c>
      <c r="M46" s="14">
        <f t="shared" si="12"/>
        <v>111.53333333333333</v>
      </c>
      <c r="O46" s="1">
        <f t="shared" si="3"/>
        <v>117.20688926763199</v>
      </c>
      <c r="P46" s="1">
        <f t="shared" si="13"/>
        <v>-38.206889267631993</v>
      </c>
      <c r="Q46" s="1">
        <f t="shared" si="4"/>
        <v>1459.7663875090927</v>
      </c>
    </row>
    <row r="47" spans="1:17" x14ac:dyDescent="0.25">
      <c r="C47" s="28"/>
      <c r="D47" s="1">
        <v>41</v>
      </c>
      <c r="E47" s="5">
        <v>75</v>
      </c>
      <c r="F47" s="7">
        <f t="shared" si="5"/>
        <v>112.5831059295361</v>
      </c>
      <c r="G47" s="10">
        <f t="shared" si="9"/>
        <v>0.17963784130885874</v>
      </c>
      <c r="H47" s="7">
        <f t="shared" si="6"/>
        <v>0.66617455061988839</v>
      </c>
      <c r="I47" s="16">
        <f t="shared" si="10"/>
        <v>75.119670158208251</v>
      </c>
      <c r="J47" s="9">
        <f t="shared" si="7"/>
        <v>-0.11967015820825111</v>
      </c>
      <c r="K47" s="9">
        <f t="shared" si="11"/>
        <v>0.11967015820825111</v>
      </c>
      <c r="M47" s="14">
        <f t="shared" si="12"/>
        <v>111.2</v>
      </c>
      <c r="O47" s="1">
        <f t="shared" si="3"/>
        <v>117.3030511684515</v>
      </c>
      <c r="P47" s="1">
        <f t="shared" si="13"/>
        <v>-42.303051168451503</v>
      </c>
      <c r="Q47" s="1">
        <f t="shared" si="4"/>
        <v>1789.5481381606262</v>
      </c>
    </row>
    <row r="48" spans="1:17" x14ac:dyDescent="0.25">
      <c r="C48" s="28"/>
      <c r="D48" s="1">
        <v>42</v>
      </c>
      <c r="E48" s="5">
        <v>173</v>
      </c>
      <c r="F48" s="7">
        <f t="shared" si="5"/>
        <v>368.59464902532045</v>
      </c>
      <c r="G48" s="10">
        <f t="shared" si="9"/>
        <v>0.73069844322650201</v>
      </c>
      <c r="H48" s="7">
        <f t="shared" si="6"/>
        <v>0.4693502753158954</v>
      </c>
      <c r="I48" s="16">
        <f t="shared" si="10"/>
        <v>173.34295351550122</v>
      </c>
      <c r="J48" s="9">
        <f t="shared" si="7"/>
        <v>-0.34295351550122177</v>
      </c>
      <c r="K48" s="9">
        <f t="shared" si="11"/>
        <v>0.34295351550122177</v>
      </c>
      <c r="M48" s="14">
        <f t="shared" si="12"/>
        <v>109.06666666666666</v>
      </c>
      <c r="O48" s="1">
        <f t="shared" si="3"/>
        <v>117.39921306927101</v>
      </c>
      <c r="P48" s="1">
        <f t="shared" si="13"/>
        <v>55.600786930728987</v>
      </c>
      <c r="Q48" s="1">
        <f t="shared" si="4"/>
        <v>3091.4475073163235</v>
      </c>
    </row>
    <row r="49" spans="3:25" x14ac:dyDescent="0.25">
      <c r="C49" s="28"/>
      <c r="D49" s="1">
        <v>43</v>
      </c>
      <c r="E49" s="5">
        <v>73</v>
      </c>
      <c r="F49" s="7">
        <f t="shared" si="5"/>
        <v>75.930061290592448</v>
      </c>
      <c r="G49" s="10">
        <f t="shared" si="9"/>
        <v>9.8726512906859409E-2</v>
      </c>
      <c r="H49" s="7">
        <f t="shared" si="6"/>
        <v>0.96141105063278176</v>
      </c>
      <c r="I49" s="16">
        <f t="shared" si="10"/>
        <v>73.094916760499132</v>
      </c>
      <c r="J49" s="9">
        <f t="shared" si="7"/>
        <v>-9.4916760499131669E-2</v>
      </c>
      <c r="K49" s="9">
        <f t="shared" si="11"/>
        <v>9.4916760499131669E-2</v>
      </c>
      <c r="M49" s="14">
        <f t="shared" si="12"/>
        <v>110.46666666666667</v>
      </c>
      <c r="O49" s="1">
        <f t="shared" si="3"/>
        <v>117.49537497009052</v>
      </c>
      <c r="P49" s="1">
        <f t="shared" si="13"/>
        <v>-44.495374970090523</v>
      </c>
      <c r="Q49" s="1">
        <f t="shared" si="4"/>
        <v>1979.8383937289582</v>
      </c>
    </row>
    <row r="50" spans="3:25" x14ac:dyDescent="0.25">
      <c r="C50" s="28"/>
      <c r="D50" s="1">
        <v>44</v>
      </c>
      <c r="E50" s="5">
        <v>152</v>
      </c>
      <c r="F50" s="7">
        <f t="shared" si="5"/>
        <v>206.99815815363129</v>
      </c>
      <c r="G50" s="10">
        <f t="shared" si="9"/>
        <v>0.38083385986238888</v>
      </c>
      <c r="H50" s="7">
        <f t="shared" si="6"/>
        <v>0.73430605062286403</v>
      </c>
      <c r="I50" s="16">
        <f t="shared" si="10"/>
        <v>152.27964860757896</v>
      </c>
      <c r="J50" s="9">
        <f t="shared" si="7"/>
        <v>-0.27964860757896304</v>
      </c>
      <c r="K50" s="9">
        <f t="shared" si="11"/>
        <v>0.27964860757896304</v>
      </c>
      <c r="M50" s="14">
        <f t="shared" si="12"/>
        <v>111.8</v>
      </c>
      <c r="O50" s="1">
        <f t="shared" si="3"/>
        <v>117.59153687091003</v>
      </c>
      <c r="P50" s="1">
        <f t="shared" si="13"/>
        <v>34.408463129089967</v>
      </c>
      <c r="Q50" s="1">
        <f t="shared" si="4"/>
        <v>1183.9423349059437</v>
      </c>
    </row>
    <row r="51" spans="3:25" x14ac:dyDescent="0.25">
      <c r="C51" s="28"/>
      <c r="D51" s="1">
        <v>45</v>
      </c>
      <c r="E51" s="5">
        <v>90</v>
      </c>
      <c r="F51" s="7">
        <f t="shared" si="5"/>
        <v>130.64589250936714</v>
      </c>
      <c r="G51" s="10">
        <f t="shared" si="9"/>
        <v>0.21555116004553065</v>
      </c>
      <c r="H51" s="7">
        <f t="shared" si="6"/>
        <v>0.68888503320949879</v>
      </c>
      <c r="I51" s="16">
        <f t="shared" si="10"/>
        <v>90.14848996804632</v>
      </c>
      <c r="J51" s="9">
        <f t="shared" si="7"/>
        <v>-0.14848996804632009</v>
      </c>
      <c r="K51" s="9">
        <f t="shared" si="11"/>
        <v>0.14848996804632009</v>
      </c>
      <c r="M51" s="14">
        <f t="shared" si="12"/>
        <v>109.4</v>
      </c>
      <c r="O51" s="1">
        <f t="shared" si="3"/>
        <v>117.68769877172954</v>
      </c>
      <c r="P51" s="1">
        <f t="shared" si="13"/>
        <v>-27.687698771729544</v>
      </c>
      <c r="Q51" s="1">
        <f t="shared" si="4"/>
        <v>766.60866327403369</v>
      </c>
    </row>
    <row r="52" spans="3:25" x14ac:dyDescent="0.25">
      <c r="C52" s="28"/>
      <c r="D52" s="1">
        <v>46</v>
      </c>
      <c r="E52" s="5">
        <v>63</v>
      </c>
      <c r="F52" s="7">
        <f t="shared" si="5"/>
        <v>39.237134428867627</v>
      </c>
      <c r="G52" s="10">
        <f>$P$3*(F52-F51)+(1-$P$3)*G51</f>
        <v>1.8192871406120359E-2</v>
      </c>
      <c r="H52" s="7">
        <f t="shared" si="6"/>
        <v>1.6056218405605458</v>
      </c>
      <c r="I52" s="16">
        <f t="shared" si="10"/>
        <v>63.029210871672191</v>
      </c>
      <c r="J52" s="9">
        <f t="shared" si="7"/>
        <v>-2.9210871672191274E-2</v>
      </c>
      <c r="K52" s="9">
        <f t="shared" si="11"/>
        <v>2.9210871672191274E-2</v>
      </c>
      <c r="M52" s="14">
        <f t="shared" si="12"/>
        <v>115.93333333333334</v>
      </c>
      <c r="O52" s="1">
        <f t="shared" si="3"/>
        <v>117.78386067254905</v>
      </c>
      <c r="P52" s="1">
        <f t="shared" si="13"/>
        <v>-54.783860672549054</v>
      </c>
      <c r="Q52" s="1">
        <f t="shared" si="4"/>
        <v>3001.2713901892666</v>
      </c>
    </row>
    <row r="53" spans="3:25" x14ac:dyDescent="0.25">
      <c r="C53" s="28"/>
      <c r="D53" s="1">
        <v>47</v>
      </c>
      <c r="E53" s="5">
        <v>103</v>
      </c>
      <c r="F53" s="7">
        <f t="shared" si="5"/>
        <v>154.26829836634093</v>
      </c>
      <c r="G53" s="10">
        <f t="shared" si="9"/>
        <v>0.26593021675778938</v>
      </c>
      <c r="H53" s="7">
        <f t="shared" si="6"/>
        <v>0.66766795959209913</v>
      </c>
      <c r="I53" s="16">
        <f t="shared" si="10"/>
        <v>103.17755308521654</v>
      </c>
      <c r="J53" s="9">
        <f t="shared" si="7"/>
        <v>-0.17755308521654456</v>
      </c>
      <c r="K53" s="9">
        <f t="shared" si="11"/>
        <v>0.17755308521654456</v>
      </c>
      <c r="M53" s="14">
        <f t="shared" si="12"/>
        <v>120.4</v>
      </c>
      <c r="O53" s="1">
        <f t="shared" si="3"/>
        <v>117.88002257336856</v>
      </c>
      <c r="P53" s="1">
        <f t="shared" si="13"/>
        <v>-14.880022573368564</v>
      </c>
      <c r="Q53" s="1">
        <f t="shared" si="4"/>
        <v>221.41507178395801</v>
      </c>
    </row>
    <row r="54" spans="3:25" x14ac:dyDescent="0.25">
      <c r="C54" s="28"/>
      <c r="D54" s="1">
        <v>48</v>
      </c>
      <c r="E54" s="5">
        <v>134</v>
      </c>
      <c r="F54" s="7">
        <f t="shared" ref="F54:F85" si="14">$P$2*(E54/H39)+(1-$P$2)*(F53+G53)</f>
        <v>93.018625937947917</v>
      </c>
      <c r="G54" s="10">
        <f t="shared" si="9"/>
        <v>0.13342592653939669</v>
      </c>
      <c r="H54" s="7">
        <f t="shared" ref="H54:H85" si="15">$P$4*(E54/F54)+(1-$P$4)*H39</f>
        <v>1.4405716989346895</v>
      </c>
      <c r="I54" s="16">
        <f t="shared" si="10"/>
        <v>134.19220961367679</v>
      </c>
      <c r="J54" s="9">
        <f t="shared" ref="J54:J85" si="16">E54-I54</f>
        <v>-0.19220961367679479</v>
      </c>
      <c r="K54" s="9">
        <f t="shared" si="11"/>
        <v>0.19220961367679479</v>
      </c>
      <c r="M54" s="14">
        <f t="shared" si="12"/>
        <v>121.86666666666666</v>
      </c>
      <c r="O54" s="1">
        <f t="shared" si="3"/>
        <v>117.97618447418807</v>
      </c>
      <c r="P54" s="1">
        <f t="shared" si="13"/>
        <v>16.023815525811926</v>
      </c>
      <c r="Q54" s="1">
        <f t="shared" si="4"/>
        <v>256.76266400525134</v>
      </c>
    </row>
    <row r="55" spans="3:25" x14ac:dyDescent="0.25">
      <c r="C55" s="28"/>
      <c r="D55" s="1">
        <v>49</v>
      </c>
      <c r="E55" s="5">
        <v>131</v>
      </c>
      <c r="F55" s="7">
        <f t="shared" si="14"/>
        <v>398.74626327714066</v>
      </c>
      <c r="G55" s="10">
        <f t="shared" si="9"/>
        <v>0.79167427877715291</v>
      </c>
      <c r="H55" s="7">
        <f t="shared" si="15"/>
        <v>0.32852972445023532</v>
      </c>
      <c r="I55" s="16">
        <f t="shared" si="10"/>
        <v>131.260088532661</v>
      </c>
      <c r="J55" s="9">
        <f t="shared" si="16"/>
        <v>-0.26008853266100118</v>
      </c>
      <c r="K55" s="9">
        <f t="shared" si="11"/>
        <v>0.26008853266100118</v>
      </c>
      <c r="M55" s="14">
        <f t="shared" si="12"/>
        <v>117.46666666666667</v>
      </c>
      <c r="O55" s="1">
        <f t="shared" si="3"/>
        <v>118.07234637500758</v>
      </c>
      <c r="P55" s="1">
        <f t="shared" si="13"/>
        <v>12.927653624992416</v>
      </c>
      <c r="Q55" s="1">
        <f t="shared" si="4"/>
        <v>167.12422824777957</v>
      </c>
    </row>
    <row r="56" spans="3:25" x14ac:dyDescent="0.25">
      <c r="C56" s="28"/>
      <c r="D56" s="1">
        <v>50</v>
      </c>
      <c r="E56" s="5">
        <v>95</v>
      </c>
      <c r="F56" s="7">
        <f t="shared" si="14"/>
        <v>117.84098309647585</v>
      </c>
      <c r="G56" s="10">
        <f t="shared" si="9"/>
        <v>0.18490049452855439</v>
      </c>
      <c r="H56" s="7">
        <f t="shared" si="15"/>
        <v>0.80617114270188961</v>
      </c>
      <c r="I56" s="16">
        <f t="shared" si="10"/>
        <v>95.149061442960246</v>
      </c>
      <c r="J56" s="9">
        <f t="shared" si="16"/>
        <v>-0.14906144296024593</v>
      </c>
      <c r="K56" s="9">
        <f t="shared" si="11"/>
        <v>0.14906144296024593</v>
      </c>
      <c r="M56" s="14">
        <f t="shared" si="12"/>
        <v>122.53333333333333</v>
      </c>
      <c r="O56" s="1">
        <f t="shared" si="3"/>
        <v>118.16850827582709</v>
      </c>
      <c r="P56" s="1">
        <f t="shared" si="13"/>
        <v>-23.168508275827094</v>
      </c>
      <c r="Q56" s="1">
        <f t="shared" si="4"/>
        <v>536.77977572706857</v>
      </c>
    </row>
    <row r="57" spans="3:25" x14ac:dyDescent="0.25">
      <c r="C57" s="28"/>
      <c r="D57" s="1">
        <v>51</v>
      </c>
      <c r="E57" s="5">
        <v>95</v>
      </c>
      <c r="F57" s="7">
        <f t="shared" si="14"/>
        <v>101.53516616527457</v>
      </c>
      <c r="G57" s="10">
        <f t="shared" si="9"/>
        <v>0.14937957440861374</v>
      </c>
      <c r="H57" s="7">
        <f t="shared" si="15"/>
        <v>0.93563642615567388</v>
      </c>
      <c r="I57" s="16">
        <f t="shared" si="10"/>
        <v>95.139764971140337</v>
      </c>
      <c r="J57" s="9">
        <f t="shared" si="16"/>
        <v>-0.13976497114033748</v>
      </c>
      <c r="K57" s="9">
        <f t="shared" si="11"/>
        <v>0.13976497114033748</v>
      </c>
      <c r="M57" s="14">
        <f t="shared" si="12"/>
        <v>120.66666666666667</v>
      </c>
      <c r="O57" s="1">
        <f t="shared" si="3"/>
        <v>118.2646701766466</v>
      </c>
      <c r="P57" s="1">
        <f t="shared" si="13"/>
        <v>-23.264670176646604</v>
      </c>
      <c r="Q57" s="1">
        <f t="shared" si="4"/>
        <v>541.24487842814995</v>
      </c>
    </row>
    <row r="58" spans="3:25" x14ac:dyDescent="0.25">
      <c r="C58" s="28"/>
      <c r="D58" s="1">
        <v>52</v>
      </c>
      <c r="E58" s="12">
        <v>172</v>
      </c>
      <c r="F58" s="7">
        <f t="shared" si="14"/>
        <v>281.56746679580311</v>
      </c>
      <c r="G58" s="10">
        <f t="shared" si="9"/>
        <v>0.53684645682614685</v>
      </c>
      <c r="H58" s="7">
        <f t="shared" si="15"/>
        <v>0.61086602780262589</v>
      </c>
      <c r="I58" s="16">
        <f t="shared" si="10"/>
        <v>172.32794126262127</v>
      </c>
      <c r="J58" s="9">
        <f t="shared" si="16"/>
        <v>-0.32794126262126611</v>
      </c>
      <c r="K58" s="9">
        <f t="shared" si="11"/>
        <v>0.32794126262126611</v>
      </c>
      <c r="M58" s="14">
        <f t="shared" si="12"/>
        <v>124.46666666666667</v>
      </c>
      <c r="O58" s="1">
        <f t="shared" si="3"/>
        <v>118.36083207746611</v>
      </c>
      <c r="P58" s="1">
        <f t="shared" si="13"/>
        <v>53.639167922533886</v>
      </c>
      <c r="Q58" s="1">
        <f t="shared" si="4"/>
        <v>2877.1603354217882</v>
      </c>
    </row>
    <row r="59" spans="3:25" x14ac:dyDescent="0.25">
      <c r="C59" s="29" t="s">
        <v>23</v>
      </c>
      <c r="D59" s="1">
        <v>53</v>
      </c>
      <c r="E59" s="12">
        <v>148</v>
      </c>
      <c r="F59" s="7">
        <f t="shared" si="14"/>
        <v>101.93531092512795</v>
      </c>
      <c r="G59" s="10">
        <f t="shared" si="9"/>
        <v>0.14876335682837105</v>
      </c>
      <c r="H59" s="7">
        <f t="shared" si="15"/>
        <v>1.4519011975026674</v>
      </c>
      <c r="I59" s="16">
        <f t="shared" si="10"/>
        <v>148.21598969592364</v>
      </c>
      <c r="J59" s="9">
        <f t="shared" si="16"/>
        <v>-0.21598969592363915</v>
      </c>
      <c r="K59" s="9">
        <f t="shared" si="11"/>
        <v>0.21598969592363915</v>
      </c>
      <c r="M59" s="14">
        <f t="shared" si="12"/>
        <v>116.6</v>
      </c>
      <c r="O59" s="1">
        <f t="shared" si="3"/>
        <v>118.45699397828562</v>
      </c>
      <c r="P59" s="1">
        <f t="shared" si="13"/>
        <v>29.543006021714376</v>
      </c>
      <c r="Q59" s="1">
        <f t="shared" si="4"/>
        <v>872.78920479905184</v>
      </c>
    </row>
    <row r="60" spans="3:25" x14ac:dyDescent="0.25">
      <c r="C60" s="29"/>
      <c r="D60" s="1">
        <v>54</v>
      </c>
      <c r="E60" s="12">
        <v>90</v>
      </c>
      <c r="F60" s="7">
        <f t="shared" si="14"/>
        <v>64.648762104134349</v>
      </c>
      <c r="G60" s="10">
        <f t="shared" si="9"/>
        <v>6.8127887842727122E-2</v>
      </c>
      <c r="H60" s="7">
        <f t="shared" si="15"/>
        <v>1.3921380250874813</v>
      </c>
      <c r="I60" s="16">
        <f t="shared" si="10"/>
        <v>90.094843423234735</v>
      </c>
      <c r="J60" s="9">
        <f t="shared" si="16"/>
        <v>-9.4843423234735269E-2</v>
      </c>
      <c r="K60" s="9">
        <f t="shared" si="11"/>
        <v>9.4843423234735269E-2</v>
      </c>
      <c r="M60" s="14">
        <f t="shared" si="12"/>
        <v>116.13333333333334</v>
      </c>
      <c r="O60" s="1">
        <f t="shared" si="3"/>
        <v>118.55315587910513</v>
      </c>
      <c r="P60" s="1">
        <f t="shared" si="13"/>
        <v>-28.553155879105134</v>
      </c>
      <c r="Q60" s="1">
        <f t="shared" si="4"/>
        <v>815.28271065647607</v>
      </c>
    </row>
    <row r="61" spans="3:25" x14ac:dyDescent="0.25">
      <c r="C61" s="29"/>
      <c r="D61" s="1">
        <v>55</v>
      </c>
      <c r="E61" s="12">
        <v>74</v>
      </c>
      <c r="F61" s="7">
        <f t="shared" si="14"/>
        <v>33.024376946177533</v>
      </c>
      <c r="G61" s="10">
        <f t="shared" si="9"/>
        <v>-1.3762148821092057E-4</v>
      </c>
      <c r="H61" s="7">
        <f t="shared" si="15"/>
        <v>2.2407689968111653</v>
      </c>
      <c r="I61" s="16">
        <f t="shared" si="10"/>
        <v>73.999691622035925</v>
      </c>
      <c r="J61" s="9">
        <f t="shared" si="16"/>
        <v>3.0837796407467977E-4</v>
      </c>
      <c r="K61" s="9">
        <f t="shared" si="11"/>
        <v>3.0837796407467977E-4</v>
      </c>
      <c r="M61" s="14">
        <f t="shared" si="12"/>
        <v>117</v>
      </c>
      <c r="O61" s="1">
        <f t="shared" si="3"/>
        <v>118.64931777992464</v>
      </c>
      <c r="P61" s="1">
        <f t="shared" si="13"/>
        <v>-44.649317779924644</v>
      </c>
      <c r="Q61" s="1">
        <f t="shared" si="4"/>
        <v>1993.5615782126949</v>
      </c>
      <c r="W61" s="1" t="s">
        <v>12</v>
      </c>
      <c r="Y61" s="1" t="s">
        <v>14</v>
      </c>
    </row>
    <row r="62" spans="3:25" x14ac:dyDescent="0.25">
      <c r="C62" s="29"/>
      <c r="D62" s="1">
        <v>56</v>
      </c>
      <c r="E62" s="12">
        <v>43</v>
      </c>
      <c r="F62" s="7">
        <f t="shared" si="14"/>
        <v>64.547647399600677</v>
      </c>
      <c r="G62" s="10">
        <f t="shared" si="9"/>
        <v>6.7763636609276715E-2</v>
      </c>
      <c r="H62" s="7">
        <f t="shared" si="15"/>
        <v>0.66617455061988862</v>
      </c>
      <c r="I62" s="16">
        <f t="shared" si="10"/>
        <v>43.045142410166541</v>
      </c>
      <c r="J62" s="9">
        <f t="shared" si="16"/>
        <v>-4.5142410166540969E-2</v>
      </c>
      <c r="K62" s="9">
        <f t="shared" si="11"/>
        <v>4.5142410166540969E-2</v>
      </c>
      <c r="M62" s="14">
        <f t="shared" si="12"/>
        <v>124.73333333333333</v>
      </c>
      <c r="O62" s="1">
        <f t="shared" si="3"/>
        <v>118.74547968074417</v>
      </c>
      <c r="P62" s="1">
        <f t="shared" si="13"/>
        <v>-75.745479680744168</v>
      </c>
      <c r="Q62" s="1">
        <f t="shared" si="4"/>
        <v>5737.3776920660275</v>
      </c>
      <c r="W62" s="1">
        <f>AVERAGE(E85:E110)</f>
        <v>115.69230769230769</v>
      </c>
      <c r="Y62" s="1">
        <f>AVERAGE(E59:E84)</f>
        <v>115.69230769230769</v>
      </c>
    </row>
    <row r="63" spans="3:25" x14ac:dyDescent="0.25">
      <c r="C63" s="29"/>
      <c r="D63" s="1">
        <v>57</v>
      </c>
      <c r="E63" s="12">
        <v>194</v>
      </c>
      <c r="F63" s="7">
        <f t="shared" si="14"/>
        <v>413.33735208619748</v>
      </c>
      <c r="G63" s="10">
        <f t="shared" si="9"/>
        <v>0.81890889562514091</v>
      </c>
      <c r="H63" s="7">
        <f t="shared" si="15"/>
        <v>0.46935027531589546</v>
      </c>
      <c r="I63" s="16">
        <f t="shared" si="10"/>
        <v>194.38435511562028</v>
      </c>
      <c r="J63" s="9">
        <f t="shared" si="16"/>
        <v>-0.38435511562028069</v>
      </c>
      <c r="K63" s="9">
        <f t="shared" si="11"/>
        <v>0.38435511562028069</v>
      </c>
      <c r="M63" s="14">
        <f t="shared" si="12"/>
        <v>128.6</v>
      </c>
      <c r="O63" s="1">
        <f t="shared" si="3"/>
        <v>118.84164158156368</v>
      </c>
      <c r="P63" s="1">
        <f t="shared" si="13"/>
        <v>75.158358418436322</v>
      </c>
      <c r="Q63" s="1">
        <f t="shared" si="4"/>
        <v>5648.7788401541384</v>
      </c>
      <c r="V63" s="1" t="s">
        <v>13</v>
      </c>
      <c r="W63" s="1">
        <f>W62/Y62</f>
        <v>1</v>
      </c>
    </row>
    <row r="64" spans="3:25" x14ac:dyDescent="0.25">
      <c r="C64" s="29"/>
      <c r="D64" s="1">
        <v>58</v>
      </c>
      <c r="E64" s="12">
        <v>93</v>
      </c>
      <c r="F64" s="7">
        <f t="shared" si="14"/>
        <v>96.732817808563013</v>
      </c>
      <c r="G64" s="10">
        <f t="shared" si="9"/>
        <v>0.13518043930209112</v>
      </c>
      <c r="H64" s="7">
        <f t="shared" si="15"/>
        <v>0.96141105063278143</v>
      </c>
      <c r="I64" s="16">
        <f t="shared" si="10"/>
        <v>93.129963968174451</v>
      </c>
      <c r="J64" s="9">
        <f t="shared" si="16"/>
        <v>-0.12996396817445088</v>
      </c>
      <c r="K64" s="9">
        <f t="shared" si="11"/>
        <v>0.12996396817445088</v>
      </c>
      <c r="M64" s="14">
        <f t="shared" si="12"/>
        <v>120.86666666666666</v>
      </c>
      <c r="O64" s="1">
        <f t="shared" si="3"/>
        <v>118.93780348238319</v>
      </c>
      <c r="P64" s="1">
        <f t="shared" si="13"/>
        <v>-25.937803482383188</v>
      </c>
      <c r="Q64" s="1">
        <f t="shared" si="4"/>
        <v>672.76964949072942</v>
      </c>
    </row>
    <row r="65" spans="3:17" x14ac:dyDescent="0.25">
      <c r="C65" s="29"/>
      <c r="D65" s="1">
        <v>59</v>
      </c>
      <c r="E65" s="12">
        <v>116</v>
      </c>
      <c r="F65" s="7">
        <f t="shared" si="14"/>
        <v>157.97227859092914</v>
      </c>
      <c r="G65" s="10">
        <f t="shared" si="9"/>
        <v>0.26679874340727944</v>
      </c>
      <c r="H65" s="7">
        <f t="shared" si="15"/>
        <v>0.73430605062286414</v>
      </c>
      <c r="I65" s="16">
        <f t="shared" si="10"/>
        <v>116.19591193158254</v>
      </c>
      <c r="J65" s="9">
        <f t="shared" si="16"/>
        <v>-0.19591193158254327</v>
      </c>
      <c r="K65" s="9">
        <f t="shared" si="11"/>
        <v>0.19591193158254327</v>
      </c>
      <c r="M65" s="14">
        <f t="shared" si="12"/>
        <v>129.53333333333333</v>
      </c>
      <c r="O65" s="1">
        <f t="shared" si="3"/>
        <v>119.0339653832027</v>
      </c>
      <c r="P65" s="1">
        <f t="shared" si="13"/>
        <v>-3.0339653832026983</v>
      </c>
      <c r="Q65" s="1">
        <f t="shared" si="4"/>
        <v>9.2049459464722965</v>
      </c>
    </row>
    <row r="66" spans="3:17" x14ac:dyDescent="0.25">
      <c r="C66" s="29"/>
      <c r="D66" s="1">
        <v>60</v>
      </c>
      <c r="E66" s="12">
        <v>188</v>
      </c>
      <c r="F66" s="7">
        <f t="shared" si="14"/>
        <v>272.90475324178908</v>
      </c>
      <c r="G66" s="10">
        <f t="shared" si="9"/>
        <v>0.51378801678192576</v>
      </c>
      <c r="H66" s="7">
        <f t="shared" si="15"/>
        <v>0.68888503320949901</v>
      </c>
      <c r="I66" s="16">
        <f t="shared" si="10"/>
        <v>188.35394087500339</v>
      </c>
      <c r="J66" s="9">
        <f t="shared" si="16"/>
        <v>-0.35394087500338856</v>
      </c>
      <c r="K66" s="9">
        <f t="shared" si="11"/>
        <v>0.35394087500338856</v>
      </c>
      <c r="M66" s="14">
        <f t="shared" si="12"/>
        <v>126.73333333333333</v>
      </c>
      <c r="O66" s="1">
        <f t="shared" si="3"/>
        <v>119.13012728402221</v>
      </c>
      <c r="P66" s="1">
        <f t="shared" si="13"/>
        <v>68.869872715977792</v>
      </c>
      <c r="Q66" s="1">
        <f t="shared" si="4"/>
        <v>4743.0593679149824</v>
      </c>
    </row>
    <row r="67" spans="3:17" x14ac:dyDescent="0.25">
      <c r="C67" s="29"/>
      <c r="D67" s="1">
        <v>61</v>
      </c>
      <c r="E67" s="12">
        <v>130</v>
      </c>
      <c r="F67" s="7">
        <f t="shared" si="14"/>
        <v>80.965515488139559</v>
      </c>
      <c r="G67" s="10">
        <f t="shared" si="9"/>
        <v>9.9245193765247375E-2</v>
      </c>
      <c r="H67" s="7">
        <f t="shared" si="15"/>
        <v>1.6056218405605456</v>
      </c>
      <c r="I67" s="16">
        <f t="shared" si="10"/>
        <v>130.15935025068015</v>
      </c>
      <c r="J67" s="9">
        <f t="shared" si="16"/>
        <v>-0.15935025068014852</v>
      </c>
      <c r="K67" s="9">
        <f t="shared" si="11"/>
        <v>0.15935025068014852</v>
      </c>
      <c r="M67" s="14">
        <f t="shared" si="12"/>
        <v>123.4</v>
      </c>
      <c r="O67" s="1">
        <f t="shared" si="3"/>
        <v>119.22628918484172</v>
      </c>
      <c r="P67" s="1">
        <f t="shared" si="13"/>
        <v>10.773710815158282</v>
      </c>
      <c r="Q67" s="1">
        <f t="shared" si="4"/>
        <v>116.07284472865852</v>
      </c>
    </row>
    <row r="68" spans="3:17" x14ac:dyDescent="0.25">
      <c r="C68" s="29"/>
      <c r="D68" s="1">
        <v>62</v>
      </c>
      <c r="E68" s="12">
        <v>125</v>
      </c>
      <c r="F68" s="7">
        <f t="shared" si="14"/>
        <v>187.21880869701565</v>
      </c>
      <c r="G68" s="10">
        <f t="shared" si="9"/>
        <v>0.32790046464326478</v>
      </c>
      <c r="H68" s="7">
        <f t="shared" si="15"/>
        <v>0.66766795959209924</v>
      </c>
      <c r="I68" s="16">
        <f t="shared" si="10"/>
        <v>125.21892863417766</v>
      </c>
      <c r="J68" s="9">
        <f t="shared" si="16"/>
        <v>-0.21892863417765795</v>
      </c>
      <c r="K68" s="9">
        <f t="shared" si="11"/>
        <v>0.21892863417765795</v>
      </c>
      <c r="M68" s="14">
        <f t="shared" si="12"/>
        <v>118.53333333333333</v>
      </c>
      <c r="O68" s="1">
        <f t="shared" si="3"/>
        <v>119.32245108566123</v>
      </c>
      <c r="P68" s="1">
        <f t="shared" si="13"/>
        <v>5.6775489143387716</v>
      </c>
      <c r="Q68" s="1">
        <f t="shared" si="4"/>
        <v>32.234561674709362</v>
      </c>
    </row>
    <row r="69" spans="3:17" x14ac:dyDescent="0.25">
      <c r="C69" s="29"/>
      <c r="D69" s="1">
        <v>63</v>
      </c>
      <c r="E69" s="12">
        <v>68</v>
      </c>
      <c r="F69" s="7">
        <f t="shared" si="14"/>
        <v>47.203481819257163</v>
      </c>
      <c r="G69" s="10">
        <f t="shared" si="9"/>
        <v>2.5601878165393832E-2</v>
      </c>
      <c r="H69" s="7">
        <f t="shared" si="15"/>
        <v>1.4405716989346891</v>
      </c>
      <c r="I69" s="16">
        <f t="shared" si="10"/>
        <v>68.036881341124669</v>
      </c>
      <c r="J69" s="9">
        <f t="shared" si="16"/>
        <v>-3.688134112466912E-2</v>
      </c>
      <c r="K69" s="9">
        <f t="shared" si="11"/>
        <v>3.688134112466912E-2</v>
      </c>
      <c r="M69" s="14">
        <f>AVERAGE(E69:E83)</f>
        <v>116</v>
      </c>
      <c r="O69" s="1">
        <f t="shared" si="3"/>
        <v>119.41861298648074</v>
      </c>
      <c r="P69" s="1">
        <f t="shared" si="13"/>
        <v>-51.418612986480738</v>
      </c>
      <c r="Q69" s="1">
        <f t="shared" si="4"/>
        <v>2643.8737614534857</v>
      </c>
    </row>
    <row r="70" spans="3:17" x14ac:dyDescent="0.25">
      <c r="C70" s="29"/>
      <c r="D70" s="1">
        <v>64</v>
      </c>
      <c r="E70" s="12">
        <v>207</v>
      </c>
      <c r="F70" s="7">
        <f t="shared" si="14"/>
        <v>630.07997326998543</v>
      </c>
      <c r="G70" s="10">
        <f t="shared" si="9"/>
        <v>1.2810596824474947</v>
      </c>
      <c r="H70" s="7">
        <f t="shared" si="15"/>
        <v>0.32852972445023543</v>
      </c>
      <c r="I70" s="16">
        <f t="shared" si="10"/>
        <v>207.42086618447871</v>
      </c>
      <c r="J70" s="9">
        <f t="shared" si="16"/>
        <v>-0.4208661844787116</v>
      </c>
      <c r="K70" s="9">
        <f t="shared" si="11"/>
        <v>0.4208661844787116</v>
      </c>
      <c r="M70" s="14">
        <f>AVERAGE(E70:E84)</f>
        <v>115.93333333333334</v>
      </c>
      <c r="O70" s="1">
        <f t="shared" si="3"/>
        <v>119.51477488730025</v>
      </c>
      <c r="P70" s="1">
        <f t="shared" si="13"/>
        <v>87.485225112699752</v>
      </c>
      <c r="Q70" s="1">
        <f t="shared" si="4"/>
        <v>7653.6646130197514</v>
      </c>
    </row>
    <row r="71" spans="3:17" x14ac:dyDescent="0.25">
      <c r="C71" s="29"/>
      <c r="D71" s="1">
        <v>65</v>
      </c>
      <c r="E71" s="12">
        <v>67</v>
      </c>
      <c r="F71" s="7">
        <f t="shared" si="14"/>
        <v>83.108903868040926</v>
      </c>
      <c r="G71" s="10">
        <f t="shared" si="9"/>
        <v>0.10012742946928932</v>
      </c>
      <c r="H71" s="7">
        <f t="shared" si="15"/>
        <v>0.80617114270188905</v>
      </c>
      <c r="I71" s="16">
        <f t="shared" si="10"/>
        <v>67.080719844231112</v>
      </c>
      <c r="J71" s="9">
        <f t="shared" si="16"/>
        <v>-8.0719844231111892E-2</v>
      </c>
      <c r="K71" s="9">
        <f t="shared" si="11"/>
        <v>8.0719844231111892E-2</v>
      </c>
    </row>
    <row r="72" spans="3:17" x14ac:dyDescent="0.25">
      <c r="C72" s="29"/>
      <c r="D72" s="1">
        <v>66</v>
      </c>
      <c r="E72" s="12">
        <v>152</v>
      </c>
      <c r="F72" s="7">
        <f t="shared" si="14"/>
        <v>162.45626586443927</v>
      </c>
      <c r="G72" s="10">
        <f t="shared" si="9"/>
        <v>0.27082556321973805</v>
      </c>
      <c r="H72" s="7">
        <f t="shared" si="15"/>
        <v>0.93563642615567411</v>
      </c>
      <c r="I72" s="16">
        <f t="shared" si="10"/>
        <v>152.25339426208248</v>
      </c>
      <c r="J72" s="9">
        <f t="shared" si="16"/>
        <v>-0.25339426208248028</v>
      </c>
      <c r="K72" s="9">
        <f t="shared" si="11"/>
        <v>0.25339426208248028</v>
      </c>
    </row>
    <row r="73" spans="3:17" x14ac:dyDescent="0.25">
      <c r="C73" s="29"/>
      <c r="D73" s="1">
        <v>67</v>
      </c>
      <c r="E73" s="12">
        <v>54</v>
      </c>
      <c r="F73" s="7">
        <f t="shared" si="14"/>
        <v>88.399088412635862</v>
      </c>
      <c r="G73" s="10">
        <f t="shared" si="9"/>
        <v>0.11072342881217465</v>
      </c>
      <c r="H73" s="7">
        <f t="shared" si="15"/>
        <v>0.61086602780262589</v>
      </c>
      <c r="I73" s="16">
        <f t="shared" si="10"/>
        <v>54.067637181143184</v>
      </c>
      <c r="J73" s="9">
        <f t="shared" si="16"/>
        <v>-6.7637181143183511E-2</v>
      </c>
      <c r="K73" s="9">
        <f t="shared" si="11"/>
        <v>6.7637181143183511E-2</v>
      </c>
    </row>
    <row r="74" spans="3:17" x14ac:dyDescent="0.25">
      <c r="C74" s="29"/>
      <c r="D74" s="1">
        <v>68</v>
      </c>
      <c r="E74" s="12">
        <v>141</v>
      </c>
      <c r="F74" s="7">
        <f t="shared" si="14"/>
        <v>97.114046219209726</v>
      </c>
      <c r="G74" s="10">
        <f t="shared" si="9"/>
        <v>0.12925690519985789</v>
      </c>
      <c r="H74" s="7">
        <f t="shared" si="15"/>
        <v>1.4519011975026674</v>
      </c>
      <c r="I74" s="16">
        <f t="shared" si="10"/>
        <v>141.18766825544515</v>
      </c>
      <c r="J74" s="9">
        <f t="shared" si="16"/>
        <v>-0.18766825544514631</v>
      </c>
      <c r="K74" s="9">
        <f t="shared" si="11"/>
        <v>0.18766825544514631</v>
      </c>
    </row>
    <row r="75" spans="3:17" x14ac:dyDescent="0.25">
      <c r="C75" s="29"/>
      <c r="D75" s="1">
        <v>69</v>
      </c>
      <c r="E75" s="12">
        <v>103</v>
      </c>
      <c r="F75" s="7">
        <f t="shared" si="14"/>
        <v>73.986916630287098</v>
      </c>
      <c r="G75" s="10">
        <f t="shared" si="9"/>
        <v>7.9162768867906824E-2</v>
      </c>
      <c r="H75" s="7">
        <f t="shared" si="15"/>
        <v>1.3921380250874813</v>
      </c>
      <c r="I75" s="16">
        <f t="shared" si="10"/>
        <v>103.11020550071223</v>
      </c>
      <c r="J75" s="9">
        <f t="shared" si="16"/>
        <v>-0.11020550071222601</v>
      </c>
      <c r="K75" s="9">
        <f t="shared" si="11"/>
        <v>0.11020550071222601</v>
      </c>
    </row>
    <row r="76" spans="3:17" x14ac:dyDescent="0.25">
      <c r="C76" s="29"/>
      <c r="D76" s="1">
        <v>70</v>
      </c>
      <c r="E76" s="12">
        <v>190</v>
      </c>
      <c r="F76" s="7">
        <f t="shared" si="14"/>
        <v>84.792319186131493</v>
      </c>
      <c r="G76" s="10">
        <f t="shared" si="9"/>
        <v>0.10226703394166596</v>
      </c>
      <c r="H76" s="7">
        <f t="shared" si="15"/>
        <v>2.2407689968111653</v>
      </c>
      <c r="I76" s="16">
        <f t="shared" si="10"/>
        <v>190.22915679905233</v>
      </c>
      <c r="J76" s="9">
        <f t="shared" si="16"/>
        <v>-0.22915679905233333</v>
      </c>
      <c r="K76" s="9">
        <f t="shared" si="11"/>
        <v>0.22915679905233333</v>
      </c>
    </row>
    <row r="77" spans="3:17" x14ac:dyDescent="0.25">
      <c r="C77" s="29"/>
      <c r="D77" s="1">
        <v>71</v>
      </c>
      <c r="E77" s="12">
        <v>101</v>
      </c>
      <c r="F77" s="7">
        <f t="shared" si="14"/>
        <v>151.61191598510854</v>
      </c>
      <c r="G77" s="10">
        <f t="shared" si="9"/>
        <v>0.24597581749658623</v>
      </c>
      <c r="H77" s="7">
        <f t="shared" si="15"/>
        <v>0.66617455061988873</v>
      </c>
      <c r="I77" s="16">
        <f t="shared" si="10"/>
        <v>101.16386282968415</v>
      </c>
      <c r="J77" s="9">
        <f t="shared" si="16"/>
        <v>-0.16386282968414889</v>
      </c>
      <c r="K77" s="9">
        <f t="shared" si="11"/>
        <v>0.16386282968414889</v>
      </c>
    </row>
    <row r="78" spans="3:17" x14ac:dyDescent="0.25">
      <c r="C78" s="29"/>
      <c r="D78" s="1">
        <v>72</v>
      </c>
      <c r="E78" s="12">
        <v>78</v>
      </c>
      <c r="F78" s="7">
        <f t="shared" si="14"/>
        <v>166.1871827975433</v>
      </c>
      <c r="G78" s="10">
        <f t="shared" si="9"/>
        <v>0.27684103625368084</v>
      </c>
      <c r="H78" s="7">
        <f t="shared" si="15"/>
        <v>0.46935027531589552</v>
      </c>
      <c r="I78" s="16">
        <f t="shared" si="10"/>
        <v>78.129935416584388</v>
      </c>
      <c r="J78" s="9">
        <f t="shared" si="16"/>
        <v>-0.12993541658438801</v>
      </c>
      <c r="K78" s="9">
        <f t="shared" si="11"/>
        <v>0.12993541658438801</v>
      </c>
    </row>
    <row r="79" spans="3:17" x14ac:dyDescent="0.25">
      <c r="C79" s="29"/>
      <c r="D79" s="1">
        <v>73</v>
      </c>
      <c r="E79" s="12">
        <v>223</v>
      </c>
      <c r="F79" s="7">
        <f t="shared" si="14"/>
        <v>231.95073517537153</v>
      </c>
      <c r="G79" s="10">
        <f t="shared" si="9"/>
        <v>0.41789907408363486</v>
      </c>
      <c r="H79" s="7">
        <f t="shared" si="15"/>
        <v>0.96141105063278143</v>
      </c>
      <c r="I79" s="16">
        <f t="shared" si="10"/>
        <v>223.4017727878732</v>
      </c>
      <c r="J79" s="9">
        <f t="shared" si="16"/>
        <v>-0.40177278787319892</v>
      </c>
      <c r="K79" s="9">
        <f t="shared" si="11"/>
        <v>0.40177278787319892</v>
      </c>
    </row>
    <row r="80" spans="3:17" x14ac:dyDescent="0.25">
      <c r="C80" s="29"/>
      <c r="D80" s="1">
        <v>74</v>
      </c>
      <c r="E80" s="12">
        <v>74</v>
      </c>
      <c r="F80" s="7">
        <f t="shared" si="14"/>
        <v>100.77541910110997</v>
      </c>
      <c r="G80" s="10">
        <f t="shared" si="9"/>
        <v>0.13444796865644554</v>
      </c>
      <c r="H80" s="7">
        <f t="shared" si="15"/>
        <v>0.73430605062286403</v>
      </c>
      <c r="I80" s="16">
        <f t="shared" si="10"/>
        <v>74.098725956878397</v>
      </c>
      <c r="J80" s="9">
        <f t="shared" si="16"/>
        <v>-9.8725956878396914E-2</v>
      </c>
      <c r="K80" s="9">
        <f t="shared" si="11"/>
        <v>9.8725956878396914E-2</v>
      </c>
    </row>
    <row r="81" spans="3:11" x14ac:dyDescent="0.25">
      <c r="C81" s="29"/>
      <c r="D81" s="1">
        <v>75</v>
      </c>
      <c r="E81" s="12">
        <v>138</v>
      </c>
      <c r="F81" s="7">
        <f t="shared" si="14"/>
        <v>200.32370184769621</v>
      </c>
      <c r="G81" s="10">
        <f t="shared" si="9"/>
        <v>0.3485848550513404</v>
      </c>
      <c r="H81" s="7">
        <f t="shared" si="15"/>
        <v>0.68888503320949912</v>
      </c>
      <c r="I81" s="16">
        <f t="shared" si="10"/>
        <v>138.24013488944837</v>
      </c>
      <c r="J81" s="9">
        <f t="shared" si="16"/>
        <v>-0.24013488944837036</v>
      </c>
      <c r="K81" s="9">
        <f t="shared" si="11"/>
        <v>0.24013488944837036</v>
      </c>
    </row>
    <row r="82" spans="3:11" x14ac:dyDescent="0.25">
      <c r="C82" s="29"/>
      <c r="D82" s="1">
        <v>76</v>
      </c>
      <c r="E82" s="12">
        <v>57</v>
      </c>
      <c r="F82" s="7">
        <f t="shared" si="14"/>
        <v>35.500264483261205</v>
      </c>
      <c r="G82" s="10">
        <f t="shared" si="9"/>
        <v>-7.194827290028516E-3</v>
      </c>
      <c r="H82" s="7">
        <f t="shared" si="15"/>
        <v>1.6056218405605449</v>
      </c>
      <c r="I82" s="16">
        <f t="shared" si="10"/>
        <v>56.988447828164091</v>
      </c>
      <c r="J82" s="9">
        <f t="shared" si="16"/>
        <v>1.1552171835909064E-2</v>
      </c>
      <c r="K82" s="9">
        <f t="shared" si="11"/>
        <v>1.1552171835909064E-2</v>
      </c>
    </row>
    <row r="83" spans="3:11" x14ac:dyDescent="0.25">
      <c r="C83" s="29"/>
      <c r="D83" s="1">
        <v>77</v>
      </c>
      <c r="E83" s="12">
        <v>87</v>
      </c>
      <c r="F83" s="7">
        <f t="shared" si="14"/>
        <v>130.30429085312286</v>
      </c>
      <c r="G83" s="10">
        <f t="shared" si="9"/>
        <v>0.19702805323568034</v>
      </c>
      <c r="H83" s="7">
        <f t="shared" si="15"/>
        <v>0.66766795959209935</v>
      </c>
      <c r="I83" s="16">
        <f t="shared" si="10"/>
        <v>87.131549318286247</v>
      </c>
      <c r="J83" s="9">
        <f t="shared" si="16"/>
        <v>-0.13154931828624683</v>
      </c>
      <c r="K83" s="9">
        <f t="shared" si="11"/>
        <v>0.13154931828624683</v>
      </c>
    </row>
    <row r="84" spans="3:11" x14ac:dyDescent="0.25">
      <c r="C84" s="29"/>
      <c r="D84" s="1">
        <v>78</v>
      </c>
      <c r="E84" s="12">
        <v>67</v>
      </c>
      <c r="F84" s="7">
        <f t="shared" si="14"/>
        <v>46.50931296897398</v>
      </c>
      <c r="G84" s="10">
        <f t="shared" si="9"/>
        <v>1.6109706471674812E-2</v>
      </c>
      <c r="H84" s="7">
        <f t="shared" si="15"/>
        <v>1.4405716989346888</v>
      </c>
      <c r="I84" s="16">
        <f t="shared" si="10"/>
        <v>67.023207187221246</v>
      </c>
      <c r="J84" s="9">
        <f t="shared" si="16"/>
        <v>-2.3207187221245817E-2</v>
      </c>
      <c r="K84" s="9">
        <f t="shared" si="11"/>
        <v>2.3207187221245817E-2</v>
      </c>
    </row>
    <row r="85" spans="3:11" x14ac:dyDescent="0.25">
      <c r="D85" s="1">
        <v>79</v>
      </c>
      <c r="E85" s="12">
        <v>148</v>
      </c>
      <c r="F85" s="7">
        <f t="shared" si="14"/>
        <v>450.49196156501364</v>
      </c>
      <c r="G85" s="10">
        <f t="shared" si="9"/>
        <v>0.88625154375988402</v>
      </c>
      <c r="H85" s="7">
        <f t="shared" si="15"/>
        <v>0.32852972445023548</v>
      </c>
      <c r="I85" s="16">
        <f t="shared" si="10"/>
        <v>148.29115997546501</v>
      </c>
      <c r="J85" s="9">
        <f t="shared" si="16"/>
        <v>-0.29115997546500694</v>
      </c>
      <c r="K85" s="9">
        <f t="shared" si="11"/>
        <v>0.29115997546500694</v>
      </c>
    </row>
    <row r="86" spans="3:11" x14ac:dyDescent="0.25">
      <c r="D86" s="1">
        <v>80</v>
      </c>
      <c r="E86" s="12">
        <v>90</v>
      </c>
      <c r="F86" s="7">
        <f t="shared" ref="F86:F94" si="17">$P$2*(E86/H71)+(1-$P$2)*(F85+G85)</f>
        <v>111.6388260913983</v>
      </c>
      <c r="G86" s="10">
        <f t="shared" si="9"/>
        <v>0.15445465971330052</v>
      </c>
      <c r="H86" s="7">
        <f t="shared" ref="H86:H94" si="18">$P$4*(E86/F86)+(1-$P$4)*H71</f>
        <v>0.80617114270188872</v>
      </c>
      <c r="I86" s="16">
        <f t="shared" si="10"/>
        <v>90.124516889516727</v>
      </c>
      <c r="J86" s="9">
        <f t="shared" ref="J86:J94" si="19">E86-I86</f>
        <v>-0.12451688951672679</v>
      </c>
      <c r="K86" s="9">
        <f t="shared" si="11"/>
        <v>0.12451688951672679</v>
      </c>
    </row>
    <row r="87" spans="3:11" x14ac:dyDescent="0.25">
      <c r="D87" s="1">
        <v>81</v>
      </c>
      <c r="E87" s="12">
        <v>74</v>
      </c>
      <c r="F87" s="7">
        <f t="shared" si="17"/>
        <v>79.09055048663491</v>
      </c>
      <c r="G87" s="10">
        <f t="shared" ref="G87:G110" si="20">$P$3*(F87-F86)+(1-$P$3)*G86</f>
        <v>8.4013147713586422E-2</v>
      </c>
      <c r="H87" s="7">
        <f t="shared" si="18"/>
        <v>0.93563642615567411</v>
      </c>
      <c r="I87" s="16">
        <f t="shared" ref="I87:I110" si="21">(F87+(G87))*H72</f>
        <v>74.078605761276833</v>
      </c>
      <c r="J87" s="9">
        <f t="shared" si="19"/>
        <v>-7.8605761276833164E-2</v>
      </c>
      <c r="K87" s="9">
        <f t="shared" si="11"/>
        <v>7.8605761276833164E-2</v>
      </c>
    </row>
    <row r="88" spans="3:11" x14ac:dyDescent="0.25">
      <c r="D88" s="1">
        <v>82</v>
      </c>
      <c r="E88" s="12">
        <v>43</v>
      </c>
      <c r="F88" s="7">
        <f t="shared" si="17"/>
        <v>70.391866698950778</v>
      </c>
      <c r="G88" s="10">
        <f t="shared" si="20"/>
        <v>6.5095263898952871E-2</v>
      </c>
      <c r="H88" s="7">
        <f t="shared" si="18"/>
        <v>0.61086602780262589</v>
      </c>
      <c r="I88" s="16">
        <f t="shared" si="21"/>
        <v>43.039764485286717</v>
      </c>
      <c r="J88" s="9">
        <f t="shared" si="19"/>
        <v>-3.9764485286717388E-2</v>
      </c>
      <c r="K88" s="9">
        <f t="shared" si="11"/>
        <v>3.9764485286717388E-2</v>
      </c>
    </row>
    <row r="89" spans="3:11" x14ac:dyDescent="0.25">
      <c r="D89" s="1">
        <v>83</v>
      </c>
      <c r="E89" s="12">
        <v>194</v>
      </c>
      <c r="F89" s="7">
        <f t="shared" si="17"/>
        <v>133.61790756401902</v>
      </c>
      <c r="G89" s="10">
        <f t="shared" si="20"/>
        <v>0.2011436143423696</v>
      </c>
      <c r="H89" s="7">
        <f t="shared" si="18"/>
        <v>1.4519011975026679</v>
      </c>
      <c r="I89" s="16">
        <f t="shared" si="21"/>
        <v>194.29204065453362</v>
      </c>
      <c r="J89" s="9">
        <f t="shared" si="19"/>
        <v>-0.29204065453362205</v>
      </c>
      <c r="K89" s="9">
        <f t="shared" ref="K89:K110" si="22">ABS(J89)</f>
        <v>0.29204065453362205</v>
      </c>
    </row>
    <row r="90" spans="3:11" x14ac:dyDescent="0.25">
      <c r="D90" s="1">
        <v>84</v>
      </c>
      <c r="E90" s="12">
        <v>93</v>
      </c>
      <c r="F90" s="7">
        <f t="shared" si="17"/>
        <v>66.803720840938837</v>
      </c>
      <c r="G90" s="10">
        <f t="shared" si="20"/>
        <v>5.6792939094432643E-2</v>
      </c>
      <c r="H90" s="7">
        <f t="shared" si="18"/>
        <v>1.3921380250874811</v>
      </c>
      <c r="I90" s="16">
        <f t="shared" si="21"/>
        <v>93.079063610069852</v>
      </c>
      <c r="J90" s="9">
        <f t="shared" si="19"/>
        <v>-7.9063610069852075E-2</v>
      </c>
      <c r="K90" s="9">
        <f t="shared" si="22"/>
        <v>7.9063610069852075E-2</v>
      </c>
    </row>
    <row r="91" spans="3:11" x14ac:dyDescent="0.25">
      <c r="D91" s="1">
        <v>85</v>
      </c>
      <c r="E91" s="12">
        <v>116</v>
      </c>
      <c r="F91" s="7">
        <f t="shared" si="17"/>
        <v>51.767942239953967</v>
      </c>
      <c r="G91" s="10">
        <f t="shared" si="20"/>
        <v>2.4283617987323793E-2</v>
      </c>
      <c r="H91" s="7">
        <f t="shared" si="18"/>
        <v>2.2407689968111653</v>
      </c>
      <c r="I91" s="16">
        <f t="shared" si="21"/>
        <v>116.05441397831639</v>
      </c>
      <c r="J91" s="9">
        <f t="shared" si="19"/>
        <v>-5.4413978316389944E-2</v>
      </c>
      <c r="K91" s="9">
        <f t="shared" si="22"/>
        <v>5.4413978316389944E-2</v>
      </c>
    </row>
    <row r="92" spans="3:11" x14ac:dyDescent="0.25">
      <c r="D92" s="1">
        <v>86</v>
      </c>
      <c r="E92" s="12">
        <v>188</v>
      </c>
      <c r="F92" s="7">
        <f t="shared" si="17"/>
        <v>282.20831886337027</v>
      </c>
      <c r="G92" s="10">
        <f t="shared" si="20"/>
        <v>0.52059869165565043</v>
      </c>
      <c r="H92" s="7">
        <f t="shared" si="18"/>
        <v>0.66617455061988884</v>
      </c>
      <c r="I92" s="16">
        <f t="shared" si="21"/>
        <v>188.34680959946698</v>
      </c>
      <c r="J92" s="9">
        <f t="shared" si="19"/>
        <v>-0.34680959946697953</v>
      </c>
      <c r="K92" s="9">
        <f t="shared" si="22"/>
        <v>0.34680959946697953</v>
      </c>
    </row>
    <row r="93" spans="3:11" x14ac:dyDescent="0.25">
      <c r="D93" s="1">
        <v>87</v>
      </c>
      <c r="E93" s="12">
        <v>130</v>
      </c>
      <c r="F93" s="7">
        <f t="shared" si="17"/>
        <v>276.9786379959055</v>
      </c>
      <c r="G93" s="10">
        <f t="shared" si="20"/>
        <v>0.50821261919963023</v>
      </c>
      <c r="H93" s="7">
        <f t="shared" si="18"/>
        <v>0.46935027531589552</v>
      </c>
      <c r="I93" s="16">
        <f t="shared" si="21"/>
        <v>130.23852973274037</v>
      </c>
      <c r="J93" s="9">
        <f t="shared" si="19"/>
        <v>-0.23852973274037481</v>
      </c>
      <c r="K93" s="9">
        <f t="shared" si="22"/>
        <v>0.23852973274037481</v>
      </c>
    </row>
    <row r="94" spans="3:11" x14ac:dyDescent="0.25">
      <c r="D94" s="1">
        <v>88</v>
      </c>
      <c r="E94" s="12">
        <v>125</v>
      </c>
      <c r="F94" s="7">
        <f t="shared" si="17"/>
        <v>130.01722823731589</v>
      </c>
      <c r="G94" s="10">
        <f t="shared" si="20"/>
        <v>0.19056381464087802</v>
      </c>
      <c r="H94" s="7">
        <f t="shared" si="18"/>
        <v>0.96141105063278143</v>
      </c>
      <c r="I94" s="16">
        <f t="shared" si="21"/>
        <v>125.18321015724649</v>
      </c>
      <c r="J94" s="9">
        <f t="shared" si="19"/>
        <v>-0.18321015724649214</v>
      </c>
      <c r="K94" s="9">
        <f t="shared" si="22"/>
        <v>0.18321015724649214</v>
      </c>
    </row>
    <row r="95" spans="3:11" x14ac:dyDescent="0.25">
      <c r="D95" s="1">
        <v>89</v>
      </c>
      <c r="E95" s="12">
        <v>68</v>
      </c>
      <c r="F95" s="7">
        <f t="shared" ref="F95:F110" si="23">$P$2*(E95/H80)+(1-$P$2)*(F94+G94)</f>
        <v>92.604439173992944</v>
      </c>
      <c r="G95" s="10">
        <f t="shared" si="20"/>
        <v>0.10956638685547171</v>
      </c>
      <c r="H95" s="7">
        <f t="shared" ref="H95:H110" si="24">$P$4*(E95/F95)+(1-$P$4)*H80</f>
        <v>0.73430605062286403</v>
      </c>
      <c r="I95" s="16">
        <f t="shared" si="21"/>
        <v>68.080455260812855</v>
      </c>
      <c r="J95" s="9">
        <f t="shared" ref="J95:J110" si="25">E95-I95</f>
        <v>-8.045526081285459E-2</v>
      </c>
      <c r="K95" s="9">
        <f t="shared" si="22"/>
        <v>8.045526081285459E-2</v>
      </c>
    </row>
    <row r="96" spans="3:11" x14ac:dyDescent="0.25">
      <c r="D96" s="1">
        <v>90</v>
      </c>
      <c r="E96" s="12">
        <v>207</v>
      </c>
      <c r="F96" s="7">
        <f t="shared" si="23"/>
        <v>300.48555277154423</v>
      </c>
      <c r="G96" s="10">
        <f t="shared" si="20"/>
        <v>0.557105225896671</v>
      </c>
      <c r="H96" s="7">
        <f t="shared" si="24"/>
        <v>0.68888503320949923</v>
      </c>
      <c r="I96" s="16">
        <f t="shared" si="21"/>
        <v>207.38378145204297</v>
      </c>
      <c r="J96" s="9">
        <f t="shared" si="25"/>
        <v>-0.38378145204296743</v>
      </c>
      <c r="K96" s="9">
        <f t="shared" si="22"/>
        <v>0.38378145204296743</v>
      </c>
    </row>
    <row r="97" spans="4:11" x14ac:dyDescent="0.25">
      <c r="D97" s="1">
        <v>91</v>
      </c>
      <c r="E97" s="12">
        <v>67</v>
      </c>
      <c r="F97" s="7">
        <f t="shared" si="23"/>
        <v>41.728381059271975</v>
      </c>
      <c r="G97" s="10">
        <f t="shared" si="20"/>
        <v>-1.4563866326403607E-3</v>
      </c>
      <c r="H97" s="7">
        <f t="shared" si="24"/>
        <v>1.6056218405605438</v>
      </c>
      <c r="I97" s="16">
        <f t="shared" si="21"/>
        <v>66.997661593814385</v>
      </c>
      <c r="J97" s="9">
        <f t="shared" si="25"/>
        <v>2.3384061856148719E-3</v>
      </c>
      <c r="K97" s="9">
        <f t="shared" si="22"/>
        <v>2.3384061856148719E-3</v>
      </c>
    </row>
    <row r="98" spans="4:11" x14ac:dyDescent="0.25">
      <c r="D98" s="1">
        <v>92</v>
      </c>
      <c r="E98" s="12">
        <v>152</v>
      </c>
      <c r="F98" s="7">
        <f t="shared" si="23"/>
        <v>227.65807137557096</v>
      </c>
      <c r="G98" s="10">
        <f t="shared" si="20"/>
        <v>0.39903834257417625</v>
      </c>
      <c r="H98" s="7">
        <f t="shared" si="24"/>
        <v>0.66766795959209946</v>
      </c>
      <c r="I98" s="16">
        <f t="shared" si="21"/>
        <v>152.2664251159855</v>
      </c>
      <c r="J98" s="9">
        <f t="shared" si="25"/>
        <v>-0.26642511598549845</v>
      </c>
      <c r="K98" s="9">
        <f t="shared" si="22"/>
        <v>0.26642511598549845</v>
      </c>
    </row>
    <row r="99" spans="4:11" x14ac:dyDescent="0.25">
      <c r="D99" s="1">
        <v>93</v>
      </c>
      <c r="E99" s="12">
        <v>54</v>
      </c>
      <c r="F99" s="7">
        <f t="shared" si="23"/>
        <v>37.485117915292484</v>
      </c>
      <c r="G99" s="10">
        <f t="shared" si="20"/>
        <v>-1.1452742996500453E-2</v>
      </c>
      <c r="H99" s="7">
        <f t="shared" si="24"/>
        <v>1.4405716989346879</v>
      </c>
      <c r="I99" s="16">
        <f t="shared" si="21"/>
        <v>53.983501502564103</v>
      </c>
      <c r="J99" s="9">
        <f t="shared" si="25"/>
        <v>1.6498497435897264E-2</v>
      </c>
      <c r="K99" s="9">
        <f t="shared" si="22"/>
        <v>1.6498497435897264E-2</v>
      </c>
    </row>
    <row r="100" spans="4:11" x14ac:dyDescent="0.25">
      <c r="D100" s="1">
        <v>94</v>
      </c>
      <c r="E100" s="12">
        <v>141</v>
      </c>
      <c r="F100" s="7">
        <f t="shared" si="23"/>
        <v>429.18490932883049</v>
      </c>
      <c r="G100" s="10">
        <f t="shared" si="20"/>
        <v>0.83229125276546922</v>
      </c>
      <c r="H100" s="7">
        <f t="shared" si="24"/>
        <v>0.32852972445023554</v>
      </c>
      <c r="I100" s="16">
        <f t="shared" si="21"/>
        <v>141.27343241593337</v>
      </c>
      <c r="J100" s="9">
        <f t="shared" si="25"/>
        <v>-0.27343241593337098</v>
      </c>
      <c r="K100" s="9">
        <f t="shared" si="22"/>
        <v>0.27343241593337098</v>
      </c>
    </row>
    <row r="101" spans="4:11" x14ac:dyDescent="0.25">
      <c r="D101" s="1">
        <v>95</v>
      </c>
      <c r="E101" s="12">
        <v>103</v>
      </c>
      <c r="F101" s="7">
        <f t="shared" si="23"/>
        <v>127.76443430460031</v>
      </c>
      <c r="G101" s="10">
        <f t="shared" si="20"/>
        <v>0.18124035608314382</v>
      </c>
      <c r="H101" s="7">
        <f t="shared" si="24"/>
        <v>0.8061711427018885</v>
      </c>
      <c r="I101" s="16">
        <f t="shared" si="21"/>
        <v>103.14611074496726</v>
      </c>
      <c r="J101" s="9">
        <f t="shared" si="25"/>
        <v>-0.14611074496725962</v>
      </c>
      <c r="K101" s="9">
        <f t="shared" si="22"/>
        <v>0.14611074496725962</v>
      </c>
    </row>
    <row r="102" spans="4:11" x14ac:dyDescent="0.25">
      <c r="D102" s="1">
        <v>96</v>
      </c>
      <c r="E102" s="12">
        <v>190</v>
      </c>
      <c r="F102" s="7">
        <f t="shared" si="23"/>
        <v>203.07033233054909</v>
      </c>
      <c r="G102" s="10">
        <f t="shared" si="20"/>
        <v>0.34305848050055887</v>
      </c>
      <c r="H102" s="7">
        <f t="shared" si="24"/>
        <v>0.93563642615567411</v>
      </c>
      <c r="I102" s="16">
        <f t="shared" si="21"/>
        <v>190.32097801065794</v>
      </c>
      <c r="J102" s="9">
        <f t="shared" si="25"/>
        <v>-0.32097801065793874</v>
      </c>
      <c r="K102" s="9">
        <f t="shared" si="22"/>
        <v>0.32097801065793874</v>
      </c>
    </row>
    <row r="103" spans="4:11" x14ac:dyDescent="0.25">
      <c r="D103" s="1">
        <v>97</v>
      </c>
      <c r="E103" s="12">
        <v>101</v>
      </c>
      <c r="F103" s="7">
        <f t="shared" si="23"/>
        <v>165.33903573474484</v>
      </c>
      <c r="G103" s="10">
        <f t="shared" si="20"/>
        <v>0.26104651641380994</v>
      </c>
      <c r="H103" s="7">
        <f t="shared" si="24"/>
        <v>0.61086602780262589</v>
      </c>
      <c r="I103" s="16">
        <f t="shared" si="21"/>
        <v>101.15946444855342</v>
      </c>
      <c r="J103" s="9">
        <f t="shared" si="25"/>
        <v>-0.15946444855342179</v>
      </c>
      <c r="K103" s="9">
        <f t="shared" si="22"/>
        <v>0.15946444855342179</v>
      </c>
    </row>
    <row r="104" spans="4:11" x14ac:dyDescent="0.25">
      <c r="D104" s="1">
        <v>98</v>
      </c>
      <c r="E104" s="12">
        <v>78</v>
      </c>
      <c r="F104" s="7">
        <f t="shared" si="23"/>
        <v>53.722663865945805</v>
      </c>
      <c r="G104" s="10">
        <f t="shared" si="20"/>
        <v>2.0063135333865945E-2</v>
      </c>
      <c r="H104" s="7">
        <f t="shared" si="24"/>
        <v>1.4519011975026674</v>
      </c>
      <c r="I104" s="16">
        <f t="shared" si="21"/>
        <v>78.029129690216919</v>
      </c>
      <c r="J104" s="9">
        <f t="shared" si="25"/>
        <v>-2.9129690216919357E-2</v>
      </c>
      <c r="K104" s="9">
        <f t="shared" si="22"/>
        <v>2.9129690216919357E-2</v>
      </c>
    </row>
    <row r="105" spans="4:11" x14ac:dyDescent="0.25">
      <c r="D105" s="1">
        <v>99</v>
      </c>
      <c r="E105" s="12">
        <v>223</v>
      </c>
      <c r="F105" s="7">
        <f t="shared" si="23"/>
        <v>160.18526610246622</v>
      </c>
      <c r="G105" s="10">
        <f t="shared" si="20"/>
        <v>0.249339814520525</v>
      </c>
      <c r="H105" s="7">
        <f t="shared" si="24"/>
        <v>1.3921380250874815</v>
      </c>
      <c r="I105" s="16">
        <f t="shared" si="21"/>
        <v>223.34711543696224</v>
      </c>
      <c r="J105" s="9">
        <f t="shared" si="25"/>
        <v>-0.34711543696224112</v>
      </c>
      <c r="K105" s="9">
        <f t="shared" si="22"/>
        <v>0.34711543696224112</v>
      </c>
    </row>
    <row r="106" spans="4:11" x14ac:dyDescent="0.25">
      <c r="D106" s="1">
        <v>100</v>
      </c>
      <c r="E106" s="12">
        <v>74</v>
      </c>
      <c r="F106" s="7">
        <f t="shared" si="23"/>
        <v>33.024376946177547</v>
      </c>
      <c r="G106" s="10">
        <f t="shared" si="20"/>
        <v>-2.5101160295655039E-2</v>
      </c>
      <c r="H106" s="7">
        <f t="shared" si="24"/>
        <v>2.2407689968111644</v>
      </c>
      <c r="I106" s="16">
        <f t="shared" si="21"/>
        <v>73.94375409822554</v>
      </c>
      <c r="J106" s="9">
        <f t="shared" si="25"/>
        <v>5.6245901774460094E-2</v>
      </c>
      <c r="K106" s="9">
        <f t="shared" si="22"/>
        <v>5.6245901774460094E-2</v>
      </c>
    </row>
    <row r="107" spans="4:11" x14ac:dyDescent="0.25">
      <c r="D107" s="1">
        <v>101</v>
      </c>
      <c r="E107" s="12">
        <v>138</v>
      </c>
      <c r="F107" s="7">
        <f t="shared" si="23"/>
        <v>207.15291491034625</v>
      </c>
      <c r="G107" s="10">
        <f t="shared" si="20"/>
        <v>0.35002487844691293</v>
      </c>
      <c r="H107" s="7">
        <f t="shared" si="24"/>
        <v>0.66617455061988895</v>
      </c>
      <c r="I107" s="16">
        <f t="shared" si="21"/>
        <v>138.23317766610512</v>
      </c>
      <c r="J107" s="9">
        <f t="shared" si="25"/>
        <v>-0.23317766610512081</v>
      </c>
      <c r="K107" s="9">
        <f t="shared" si="22"/>
        <v>0.23317766610512081</v>
      </c>
    </row>
    <row r="108" spans="4:11" x14ac:dyDescent="0.25">
      <c r="D108" s="1">
        <v>102</v>
      </c>
      <c r="E108" s="12">
        <v>57</v>
      </c>
      <c r="F108" s="7">
        <f t="shared" si="23"/>
        <v>121.44447973666627</v>
      </c>
      <c r="G108" s="10">
        <f t="shared" si="20"/>
        <v>0.16465540019806621</v>
      </c>
      <c r="H108" s="7">
        <f t="shared" si="24"/>
        <v>0.46935027531589546</v>
      </c>
      <c r="I108" s="16">
        <f t="shared" si="21"/>
        <v>57.07728105741522</v>
      </c>
      <c r="J108" s="9">
        <f t="shared" si="25"/>
        <v>-7.7281057415220289E-2</v>
      </c>
      <c r="K108" s="9">
        <f t="shared" si="22"/>
        <v>7.7281057415220289E-2</v>
      </c>
    </row>
    <row r="109" spans="4:11" x14ac:dyDescent="0.25">
      <c r="D109" s="1">
        <v>103</v>
      </c>
      <c r="E109" s="12">
        <v>87</v>
      </c>
      <c r="F109" s="7">
        <f t="shared" si="23"/>
        <v>90.491990853171856</v>
      </c>
      <c r="G109" s="10">
        <f t="shared" si="20"/>
        <v>9.7629232207513156E-2</v>
      </c>
      <c r="H109" s="7">
        <f t="shared" si="24"/>
        <v>0.96141105063278143</v>
      </c>
      <c r="I109" s="16">
        <f t="shared" si="21"/>
        <v>87.093861822709101</v>
      </c>
      <c r="J109" s="9">
        <f t="shared" si="25"/>
        <v>-9.3861822709101261E-2</v>
      </c>
      <c r="K109" s="9">
        <f t="shared" si="22"/>
        <v>9.3861822709101261E-2</v>
      </c>
    </row>
    <row r="110" spans="4:11" x14ac:dyDescent="0.25">
      <c r="D110" s="1">
        <v>104</v>
      </c>
      <c r="E110" s="12">
        <v>67</v>
      </c>
      <c r="F110" s="7">
        <f t="shared" si="23"/>
        <v>91.242609186140115</v>
      </c>
      <c r="G110" s="10">
        <f t="shared" si="20"/>
        <v>9.9035767356258381E-2</v>
      </c>
      <c r="H110" s="7">
        <f t="shared" si="24"/>
        <v>0.73430605062286403</v>
      </c>
      <c r="I110" s="16">
        <f t="shared" si="21"/>
        <v>67.072722563197772</v>
      </c>
      <c r="J110" s="9">
        <f t="shared" si="25"/>
        <v>-7.2722563197771706E-2</v>
      </c>
      <c r="K110" s="9">
        <f t="shared" si="22"/>
        <v>7.2722563197771706E-2</v>
      </c>
    </row>
  </sheetData>
  <mergeCells count="3">
    <mergeCell ref="C7:C32"/>
    <mergeCell ref="C33:C58"/>
    <mergeCell ref="C59:C84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110"/>
  <sheetViews>
    <sheetView topLeftCell="C9" zoomScale="70" zoomScaleNormal="70" workbookViewId="0">
      <selection activeCell="S69" sqref="S69"/>
    </sheetView>
  </sheetViews>
  <sheetFormatPr defaultRowHeight="15" x14ac:dyDescent="0.25"/>
  <cols>
    <col min="1" max="8" width="9.140625" style="1"/>
    <col min="9" max="9" width="9.140625" style="16"/>
    <col min="10" max="17" width="9.140625" style="1"/>
    <col min="18" max="18" width="14.85546875" style="1" bestFit="1" customWidth="1"/>
    <col min="19" max="16384" width="9.140625" style="1"/>
  </cols>
  <sheetData>
    <row r="2" spans="3:22" x14ac:dyDescent="0.25">
      <c r="O2" s="8" t="s">
        <v>8</v>
      </c>
      <c r="P2" s="8">
        <v>0.99999999999999989</v>
      </c>
      <c r="U2" s="13" t="s">
        <v>17</v>
      </c>
      <c r="V2" s="13">
        <v>0</v>
      </c>
    </row>
    <row r="3" spans="3:22" x14ac:dyDescent="0.25">
      <c r="O3" s="8" t="s">
        <v>9</v>
      </c>
      <c r="P3" s="8">
        <v>0</v>
      </c>
      <c r="Q3" s="1" t="s">
        <v>11</v>
      </c>
      <c r="R3" s="1">
        <f>SUM(K21:K84)</f>
        <v>8.8817841970012523E-15</v>
      </c>
      <c r="U3" s="13" t="s">
        <v>18</v>
      </c>
      <c r="V3" s="13">
        <v>52.401031093749296</v>
      </c>
    </row>
    <row r="4" spans="3:22" x14ac:dyDescent="0.25">
      <c r="O4" s="8" t="s">
        <v>10</v>
      </c>
      <c r="P4" s="8">
        <v>1</v>
      </c>
      <c r="U4" s="1" t="s">
        <v>20</v>
      </c>
      <c r="V4" s="1">
        <f>SUM(Q7:Q70)</f>
        <v>54479.128774050529</v>
      </c>
    </row>
    <row r="5" spans="3:22" x14ac:dyDescent="0.25">
      <c r="V5" s="1">
        <f>COUNT($P$2:$P$4)</f>
        <v>3</v>
      </c>
    </row>
    <row r="6" spans="3:22" x14ac:dyDescent="0.25">
      <c r="D6" s="1" t="s">
        <v>7</v>
      </c>
      <c r="E6" s="2" t="s">
        <v>0</v>
      </c>
      <c r="F6" s="1" t="s">
        <v>1</v>
      </c>
      <c r="G6" s="1" t="s">
        <v>4</v>
      </c>
      <c r="H6" s="1" t="s">
        <v>2</v>
      </c>
      <c r="I6" s="16" t="s">
        <v>3</v>
      </c>
      <c r="J6" s="1" t="s">
        <v>5</v>
      </c>
      <c r="K6" s="1" t="s">
        <v>6</v>
      </c>
      <c r="L6" s="1" t="s">
        <v>15</v>
      </c>
      <c r="O6" s="8" t="s">
        <v>16</v>
      </c>
      <c r="P6" s="1" t="s">
        <v>19</v>
      </c>
      <c r="Q6" s="1" t="s">
        <v>11</v>
      </c>
    </row>
    <row r="7" spans="3:22" x14ac:dyDescent="0.25">
      <c r="C7" s="27" t="s">
        <v>21</v>
      </c>
      <c r="D7" s="1">
        <v>1</v>
      </c>
      <c r="E7" s="20">
        <v>58.028984000000001</v>
      </c>
      <c r="F7" s="3"/>
      <c r="G7" s="3"/>
      <c r="H7" s="3">
        <f t="shared" ref="H7:H21" si="0">E7/$A$44</f>
        <v>1.0671780448949784</v>
      </c>
      <c r="J7" s="3"/>
      <c r="K7" s="3"/>
      <c r="L7" s="3"/>
      <c r="M7" s="14">
        <f t="shared" ref="M7:M38" si="1">AVERAGE(E7:E21)</f>
        <v>54.376103666666673</v>
      </c>
      <c r="N7" s="14"/>
      <c r="O7" s="1">
        <f>$V$2*D7+$V$3</f>
        <v>52.401031093749296</v>
      </c>
      <c r="P7" s="1">
        <f t="shared" ref="P7:P39" si="2">E7-O7</f>
        <v>5.6279529062507052</v>
      </c>
      <c r="Q7" s="1">
        <f>P7*P7</f>
        <v>31.673853914975759</v>
      </c>
    </row>
    <row r="8" spans="3:22" x14ac:dyDescent="0.25">
      <c r="C8" s="27"/>
      <c r="D8" s="1">
        <v>2</v>
      </c>
      <c r="E8" s="20">
        <v>26.376812000000001</v>
      </c>
      <c r="F8" s="3"/>
      <c r="G8" s="3"/>
      <c r="H8" s="3">
        <f t="shared" si="0"/>
        <v>0.48508094956000614</v>
      </c>
      <c r="J8" s="3"/>
      <c r="K8" s="3"/>
      <c r="L8" s="3"/>
      <c r="M8" s="14">
        <f t="shared" si="1"/>
        <v>51.864093866666664</v>
      </c>
      <c r="N8" s="14"/>
      <c r="O8" s="1">
        <f t="shared" ref="O8:O70" si="3">$V$2*D8+$V$3</f>
        <v>52.401031093749296</v>
      </c>
      <c r="P8" s="1">
        <f t="shared" si="2"/>
        <v>-26.024219093749295</v>
      </c>
      <c r="Q8" s="1">
        <f t="shared" ref="Q8:Q70" si="4">P8*P8</f>
        <v>677.25997943946538</v>
      </c>
    </row>
    <row r="9" spans="3:22" x14ac:dyDescent="0.25">
      <c r="C9" s="27"/>
      <c r="D9" s="1">
        <v>3</v>
      </c>
      <c r="E9" s="20">
        <v>45.855072</v>
      </c>
      <c r="F9" s="3"/>
      <c r="G9" s="3"/>
      <c r="H9" s="3">
        <f t="shared" si="0"/>
        <v>0.84329455234781403</v>
      </c>
      <c r="J9" s="3"/>
      <c r="K9" s="3"/>
      <c r="L9" s="3"/>
      <c r="M9" s="14">
        <f t="shared" si="1"/>
        <v>52.19478706666667</v>
      </c>
      <c r="N9" s="14"/>
      <c r="O9" s="1">
        <f t="shared" si="3"/>
        <v>52.401031093749296</v>
      </c>
      <c r="P9" s="1">
        <f t="shared" si="2"/>
        <v>-6.5459590937492962</v>
      </c>
      <c r="Q9" s="1">
        <f t="shared" si="4"/>
        <v>42.84958045703911</v>
      </c>
    </row>
    <row r="10" spans="3:22" x14ac:dyDescent="0.25">
      <c r="C10" s="27"/>
      <c r="D10" s="1">
        <v>4</v>
      </c>
      <c r="E10" s="20">
        <v>41.391303999999998</v>
      </c>
      <c r="F10" s="3"/>
      <c r="G10" s="3"/>
      <c r="H10" s="3">
        <f t="shared" si="0"/>
        <v>0.76120393350973869</v>
      </c>
      <c r="J10" s="3"/>
      <c r="K10" s="3"/>
      <c r="L10" s="3"/>
      <c r="M10" s="14">
        <f t="shared" si="1"/>
        <v>57.657161933333335</v>
      </c>
      <c r="N10" s="14"/>
      <c r="O10" s="1">
        <f t="shared" si="3"/>
        <v>52.401031093749296</v>
      </c>
      <c r="P10" s="1">
        <f t="shared" si="2"/>
        <v>-11.009727093749298</v>
      </c>
      <c r="Q10" s="1">
        <f t="shared" si="4"/>
        <v>121.21409067883737</v>
      </c>
    </row>
    <row r="11" spans="3:22" x14ac:dyDescent="0.25">
      <c r="C11" s="27"/>
      <c r="D11" s="1">
        <v>5</v>
      </c>
      <c r="E11" s="20">
        <v>69.797104000000004</v>
      </c>
      <c r="F11" s="3"/>
      <c r="G11" s="3"/>
      <c r="H11" s="3">
        <f t="shared" si="0"/>
        <v>1.2835988475354225</v>
      </c>
      <c r="J11" s="3"/>
      <c r="K11" s="3"/>
      <c r="L11" s="3"/>
      <c r="M11" s="14">
        <f t="shared" si="1"/>
        <v>57.448129266666669</v>
      </c>
      <c r="N11" s="14"/>
      <c r="O11" s="1">
        <f t="shared" si="3"/>
        <v>52.401031093749296</v>
      </c>
      <c r="P11" s="1">
        <f t="shared" si="2"/>
        <v>17.396072906250708</v>
      </c>
      <c r="Q11" s="1">
        <f t="shared" si="4"/>
        <v>302.62335255958999</v>
      </c>
    </row>
    <row r="12" spans="3:22" x14ac:dyDescent="0.25">
      <c r="C12" s="27"/>
      <c r="D12" s="1">
        <v>6</v>
      </c>
      <c r="E12" s="20">
        <v>85.623189999999994</v>
      </c>
      <c r="F12" s="3"/>
      <c r="G12" s="3"/>
      <c r="H12" s="3">
        <f t="shared" si="0"/>
        <v>1.5746473952029085</v>
      </c>
      <c r="J12" s="3"/>
      <c r="K12" s="3"/>
      <c r="L12" s="3"/>
      <c r="M12" s="14">
        <f t="shared" si="1"/>
        <v>55.453903666666676</v>
      </c>
      <c r="N12" s="14"/>
      <c r="O12" s="1">
        <f t="shared" si="3"/>
        <v>52.401031093749296</v>
      </c>
      <c r="P12" s="1">
        <f t="shared" si="2"/>
        <v>33.222158906250698</v>
      </c>
      <c r="Q12" s="1">
        <f t="shared" si="4"/>
        <v>1103.7118423921725</v>
      </c>
    </row>
    <row r="13" spans="3:22" x14ac:dyDescent="0.25">
      <c r="C13" s="27"/>
      <c r="D13" s="1">
        <v>7</v>
      </c>
      <c r="E13" s="20">
        <v>87.246375999999998</v>
      </c>
      <c r="F13" s="3"/>
      <c r="G13" s="3"/>
      <c r="H13" s="3">
        <f t="shared" si="0"/>
        <v>1.6044984858575528</v>
      </c>
      <c r="J13" s="3"/>
      <c r="K13" s="3"/>
      <c r="L13" s="3"/>
      <c r="M13" s="14">
        <f t="shared" si="1"/>
        <v>53.14705166666667</v>
      </c>
      <c r="N13" s="14"/>
      <c r="O13" s="1">
        <f t="shared" si="3"/>
        <v>52.401031093749296</v>
      </c>
      <c r="P13" s="1">
        <f t="shared" si="2"/>
        <v>34.845344906250702</v>
      </c>
      <c r="Q13" s="1">
        <f t="shared" si="4"/>
        <v>1214.1980616355718</v>
      </c>
    </row>
    <row r="14" spans="3:22" x14ac:dyDescent="0.25">
      <c r="C14" s="27"/>
      <c r="D14" s="1">
        <v>8</v>
      </c>
      <c r="E14" s="20">
        <v>34.086956000000001</v>
      </c>
      <c r="F14" s="3"/>
      <c r="G14" s="3"/>
      <c r="H14" s="3">
        <f t="shared" si="0"/>
        <v>0.62687382326909513</v>
      </c>
      <c r="J14" s="3"/>
      <c r="K14" s="3"/>
      <c r="L14" s="3"/>
      <c r="M14" s="14">
        <f t="shared" si="1"/>
        <v>50.32382393333333</v>
      </c>
      <c r="N14" s="14"/>
      <c r="O14" s="1">
        <f t="shared" si="3"/>
        <v>52.401031093749296</v>
      </c>
      <c r="P14" s="1">
        <f t="shared" si="2"/>
        <v>-18.314075093749295</v>
      </c>
      <c r="Q14" s="1">
        <f t="shared" si="4"/>
        <v>335.40534653948828</v>
      </c>
    </row>
    <row r="15" spans="3:22" x14ac:dyDescent="0.25">
      <c r="C15" s="27"/>
      <c r="D15" s="1">
        <v>9</v>
      </c>
      <c r="E15" s="20">
        <v>38.956519999999998</v>
      </c>
      <c r="F15" s="3"/>
      <c r="G15" s="3"/>
      <c r="H15" s="3">
        <f t="shared" si="0"/>
        <v>0.71642720557561579</v>
      </c>
      <c r="J15" s="3"/>
      <c r="K15" s="3"/>
      <c r="L15" s="3"/>
      <c r="M15" s="14">
        <f t="shared" si="1"/>
        <v>49.711224133333332</v>
      </c>
      <c r="N15" s="14"/>
      <c r="O15" s="1">
        <f t="shared" si="3"/>
        <v>52.401031093749296</v>
      </c>
      <c r="P15" s="1">
        <f t="shared" si="2"/>
        <v>-13.444511093749298</v>
      </c>
      <c r="Q15" s="1">
        <f t="shared" si="4"/>
        <v>180.75487854994796</v>
      </c>
    </row>
    <row r="16" spans="3:22" x14ac:dyDescent="0.25">
      <c r="C16" s="27"/>
      <c r="D16" s="1">
        <v>10</v>
      </c>
      <c r="E16" s="20">
        <v>51.942028000000001</v>
      </c>
      <c r="F16" s="3"/>
      <c r="G16" s="3"/>
      <c r="H16" s="3">
        <f t="shared" si="0"/>
        <v>0.95523629862139614</v>
      </c>
      <c r="J16" s="3"/>
      <c r="K16" s="3"/>
      <c r="L16" s="3"/>
      <c r="M16" s="14">
        <f t="shared" si="1"/>
        <v>51.903238133333339</v>
      </c>
      <c r="N16" s="14"/>
      <c r="O16" s="1">
        <f t="shared" si="3"/>
        <v>52.401031093749296</v>
      </c>
      <c r="P16" s="1">
        <f t="shared" si="2"/>
        <v>-0.45900309374929549</v>
      </c>
      <c r="Q16" s="1">
        <f t="shared" si="4"/>
        <v>0.21068384007142454</v>
      </c>
    </row>
    <row r="17" spans="3:17" x14ac:dyDescent="0.25">
      <c r="C17" s="27"/>
      <c r="D17" s="1">
        <v>11</v>
      </c>
      <c r="E17" s="20">
        <v>116.39534999999999</v>
      </c>
      <c r="F17" s="3"/>
      <c r="G17" s="3"/>
      <c r="H17" s="3">
        <f t="shared" si="0"/>
        <v>2.1405606902899885</v>
      </c>
      <c r="J17" s="3"/>
      <c r="K17" s="3"/>
      <c r="L17" s="3"/>
      <c r="M17" s="14">
        <f t="shared" si="1"/>
        <v>52.005062066666667</v>
      </c>
      <c r="N17" s="14"/>
      <c r="O17" s="1">
        <f t="shared" si="3"/>
        <v>52.401031093749296</v>
      </c>
      <c r="P17" s="1">
        <f t="shared" si="2"/>
        <v>63.994318906250697</v>
      </c>
      <c r="Q17" s="1">
        <f t="shared" si="4"/>
        <v>4095.2728522749153</v>
      </c>
    </row>
    <row r="18" spans="3:17" x14ac:dyDescent="0.25">
      <c r="C18" s="27"/>
      <c r="D18" s="1">
        <v>12</v>
      </c>
      <c r="E18" s="20">
        <v>40.697673999999999</v>
      </c>
      <c r="F18" s="3"/>
      <c r="G18" s="3"/>
      <c r="H18" s="3">
        <f t="shared" si="0"/>
        <v>0.74844777863236744</v>
      </c>
      <c r="J18" s="3"/>
      <c r="K18" s="3"/>
      <c r="L18" s="3"/>
      <c r="M18" s="14">
        <f t="shared" si="1"/>
        <v>46.531086266666662</v>
      </c>
      <c r="N18" s="14"/>
      <c r="O18" s="1">
        <f t="shared" si="3"/>
        <v>52.401031093749296</v>
      </c>
      <c r="P18" s="1">
        <f t="shared" si="2"/>
        <v>-11.703357093749297</v>
      </c>
      <c r="Q18" s="1">
        <f t="shared" si="4"/>
        <v>136.96856726381199</v>
      </c>
    </row>
    <row r="19" spans="3:17" x14ac:dyDescent="0.25">
      <c r="C19" s="27"/>
      <c r="D19" s="1">
        <v>13</v>
      </c>
      <c r="E19" s="20">
        <v>45.174419999999998</v>
      </c>
      <c r="F19" s="3"/>
      <c r="G19" s="3"/>
      <c r="H19" s="3">
        <f t="shared" si="0"/>
        <v>0.83077706848813004</v>
      </c>
      <c r="J19" s="3"/>
      <c r="K19" s="3"/>
      <c r="L19" s="3"/>
      <c r="M19" s="14">
        <f t="shared" si="1"/>
        <v>51.351241333333327</v>
      </c>
      <c r="O19" s="1">
        <f t="shared" si="3"/>
        <v>52.401031093749296</v>
      </c>
      <c r="P19" s="1">
        <f t="shared" si="2"/>
        <v>-7.2266110937492982</v>
      </c>
      <c r="Q19" s="1">
        <f t="shared" si="4"/>
        <v>52.223907900300425</v>
      </c>
    </row>
    <row r="20" spans="3:17" x14ac:dyDescent="0.25">
      <c r="C20" s="27"/>
      <c r="D20" s="1">
        <v>14</v>
      </c>
      <c r="E20" s="20">
        <v>25.232557</v>
      </c>
      <c r="F20" s="3"/>
      <c r="G20" s="3"/>
      <c r="H20" s="3">
        <f t="shared" si="0"/>
        <v>0.46403760656848825</v>
      </c>
      <c r="J20" s="3"/>
      <c r="K20" s="3"/>
      <c r="L20" s="3"/>
      <c r="M20" s="14">
        <f t="shared" si="1"/>
        <v>50.339613333333332</v>
      </c>
      <c r="O20" s="1">
        <f t="shared" si="3"/>
        <v>52.401031093749296</v>
      </c>
      <c r="P20" s="1">
        <f t="shared" si="2"/>
        <v>-27.168474093749296</v>
      </c>
      <c r="Q20" s="1">
        <f t="shared" si="4"/>
        <v>738.12598458272669</v>
      </c>
    </row>
    <row r="21" spans="3:17" x14ac:dyDescent="0.25">
      <c r="C21" s="27"/>
      <c r="D21" s="1">
        <v>15</v>
      </c>
      <c r="E21" s="20">
        <v>48.837207999999997</v>
      </c>
      <c r="F21" s="3">
        <f>V3</f>
        <v>52.401031093749296</v>
      </c>
      <c r="G21" s="3">
        <f>V2</f>
        <v>0</v>
      </c>
      <c r="H21" s="3">
        <f t="shared" si="0"/>
        <v>0.89813731964649579</v>
      </c>
      <c r="J21" s="7"/>
      <c r="K21" s="7"/>
      <c r="L21" s="3"/>
      <c r="M21" s="14">
        <f t="shared" si="1"/>
        <v>54.924109533333329</v>
      </c>
      <c r="O21" s="1">
        <f t="shared" si="3"/>
        <v>52.401031093749296</v>
      </c>
      <c r="P21" s="1">
        <f t="shared" si="2"/>
        <v>-3.5638230937492992</v>
      </c>
      <c r="Q21" s="1">
        <f t="shared" si="4"/>
        <v>12.700835043540826</v>
      </c>
    </row>
    <row r="22" spans="3:17" x14ac:dyDescent="0.25">
      <c r="C22" s="27"/>
      <c r="D22" s="1">
        <v>16</v>
      </c>
      <c r="E22" s="20">
        <v>20.348837</v>
      </c>
      <c r="F22" s="6">
        <f t="shared" ref="F22:F53" si="5">$P$2*(E22/H7)+(1-$P$2)*(F21+G21)</f>
        <v>19.067893213641351</v>
      </c>
      <c r="G22" s="11">
        <f>$P$3*(F22-F21)+(1-$P$3)*G21</f>
        <v>0</v>
      </c>
      <c r="H22" s="6">
        <f t="shared" ref="H22:H53" si="6">$P$4*(E22/F22)+(1-$P$4)*H7</f>
        <v>1.0671780448949781</v>
      </c>
      <c r="I22" s="16">
        <f>(F22+(G22))*H7</f>
        <v>20.348837000000003</v>
      </c>
      <c r="J22" s="7">
        <f t="shared" ref="J22:J53" si="7">E22-I22</f>
        <v>0</v>
      </c>
      <c r="K22" s="7">
        <f t="shared" ref="K22:K23" si="8">ABS(J22)</f>
        <v>0</v>
      </c>
      <c r="L22" s="3"/>
      <c r="M22" s="14">
        <f t="shared" si="1"/>
        <v>53.26829566666666</v>
      </c>
      <c r="O22" s="1">
        <f t="shared" si="3"/>
        <v>52.401031093749296</v>
      </c>
      <c r="P22" s="1">
        <f t="shared" si="2"/>
        <v>-32.052194093749293</v>
      </c>
      <c r="Q22" s="1">
        <f t="shared" si="4"/>
        <v>1027.3431462233771</v>
      </c>
    </row>
    <row r="23" spans="3:17" x14ac:dyDescent="0.25">
      <c r="C23" s="27"/>
      <c r="D23" s="1">
        <v>17</v>
      </c>
      <c r="E23" s="20">
        <v>31.337209999999999</v>
      </c>
      <c r="F23" s="6">
        <f t="shared" si="5"/>
        <v>64.602021638706873</v>
      </c>
      <c r="G23" s="11">
        <f t="shared" ref="G23:G86" si="9">$P$3*(F23-F22)+(1-$P$3)*G22</f>
        <v>0</v>
      </c>
      <c r="H23" s="6">
        <f t="shared" si="6"/>
        <v>0.48508094956000619</v>
      </c>
      <c r="I23" s="16">
        <f t="shared" ref="I23:I86" si="10">(F23+(G23))*H8</f>
        <v>31.337209999999992</v>
      </c>
      <c r="J23" s="7">
        <f t="shared" si="7"/>
        <v>0</v>
      </c>
      <c r="K23" s="7">
        <f t="shared" si="8"/>
        <v>0</v>
      </c>
      <c r="L23" s="3"/>
      <c r="M23" s="14">
        <f t="shared" si="1"/>
        <v>53.645039866666664</v>
      </c>
      <c r="O23" s="1">
        <f t="shared" si="3"/>
        <v>52.401031093749296</v>
      </c>
      <c r="P23" s="1">
        <f t="shared" si="2"/>
        <v>-21.063821093749297</v>
      </c>
      <c r="Q23" s="1">
        <f t="shared" si="4"/>
        <v>443.68455906947781</v>
      </c>
    </row>
    <row r="24" spans="3:17" x14ac:dyDescent="0.25">
      <c r="C24" s="27"/>
      <c r="D24" s="1">
        <v>18</v>
      </c>
      <c r="E24" s="20">
        <v>127.790695</v>
      </c>
      <c r="F24" s="6">
        <f t="shared" si="5"/>
        <v>151.53743688278107</v>
      </c>
      <c r="G24" s="11">
        <f t="shared" si="9"/>
        <v>0</v>
      </c>
      <c r="H24" s="6">
        <f t="shared" si="6"/>
        <v>0.84329455234781414</v>
      </c>
      <c r="I24" s="16">
        <f t="shared" si="10"/>
        <v>127.79069499999999</v>
      </c>
      <c r="J24" s="7">
        <f t="shared" si="7"/>
        <v>0</v>
      </c>
      <c r="K24" s="7">
        <f>ABS(J24)</f>
        <v>0</v>
      </c>
      <c r="M24" s="14">
        <f t="shared" si="1"/>
        <v>55.155892533333336</v>
      </c>
      <c r="O24" s="1">
        <f t="shared" si="3"/>
        <v>52.401031093749296</v>
      </c>
      <c r="P24" s="1">
        <f t="shared" si="2"/>
        <v>75.389663906250703</v>
      </c>
      <c r="Q24" s="1">
        <f t="shared" si="4"/>
        <v>5683.6014238974403</v>
      </c>
    </row>
    <row r="25" spans="3:17" x14ac:dyDescent="0.25">
      <c r="C25" s="27"/>
      <c r="D25" s="1">
        <v>19</v>
      </c>
      <c r="E25" s="20">
        <v>38.255814000000001</v>
      </c>
      <c r="F25" s="6">
        <f t="shared" si="5"/>
        <v>50.256984121996226</v>
      </c>
      <c r="G25" s="11">
        <f t="shared" si="9"/>
        <v>0</v>
      </c>
      <c r="H25" s="6">
        <f t="shared" si="6"/>
        <v>0.76120393350973858</v>
      </c>
      <c r="I25" s="16">
        <f t="shared" si="10"/>
        <v>38.255814000000008</v>
      </c>
      <c r="J25" s="7">
        <f t="shared" si="7"/>
        <v>0</v>
      </c>
      <c r="K25" s="7">
        <f t="shared" ref="K25:K88" si="11">ABS(J25)</f>
        <v>0</v>
      </c>
      <c r="M25" s="14">
        <f t="shared" si="1"/>
        <v>50.303179533333335</v>
      </c>
      <c r="O25" s="1">
        <f t="shared" si="3"/>
        <v>52.401031093749296</v>
      </c>
      <c r="P25" s="1">
        <f t="shared" si="2"/>
        <v>-14.145217093749295</v>
      </c>
      <c r="Q25" s="1">
        <f t="shared" si="4"/>
        <v>200.08716662929726</v>
      </c>
    </row>
    <row r="26" spans="3:17" x14ac:dyDescent="0.25">
      <c r="C26" s="27"/>
      <c r="D26" s="1">
        <v>20</v>
      </c>
      <c r="E26" s="20">
        <v>39.883719999999997</v>
      </c>
      <c r="F26" s="6">
        <f t="shared" si="5"/>
        <v>31.071794803009404</v>
      </c>
      <c r="G26" s="11">
        <f t="shared" si="9"/>
        <v>0</v>
      </c>
      <c r="H26" s="6">
        <f t="shared" si="6"/>
        <v>1.2835988475354223</v>
      </c>
      <c r="I26" s="16">
        <f t="shared" si="10"/>
        <v>39.883720000000004</v>
      </c>
      <c r="J26" s="7">
        <f t="shared" si="7"/>
        <v>0</v>
      </c>
      <c r="K26" s="7">
        <f t="shared" si="11"/>
        <v>0</v>
      </c>
      <c r="M26" s="14">
        <f t="shared" si="1"/>
        <v>50.019458599999993</v>
      </c>
      <c r="O26" s="1">
        <f t="shared" si="3"/>
        <v>52.401031093749296</v>
      </c>
      <c r="P26" s="1">
        <f t="shared" si="2"/>
        <v>-12.517311093749299</v>
      </c>
      <c r="Q26" s="1">
        <f t="shared" si="4"/>
        <v>156.68307701769928</v>
      </c>
    </row>
    <row r="27" spans="3:17" x14ac:dyDescent="0.25">
      <c r="C27" s="27"/>
      <c r="D27" s="1">
        <v>21</v>
      </c>
      <c r="E27" s="20">
        <v>51.020409999999998</v>
      </c>
      <c r="F27" s="6">
        <f t="shared" si="5"/>
        <v>32.401164956314247</v>
      </c>
      <c r="G27" s="11">
        <f t="shared" si="9"/>
        <v>0</v>
      </c>
      <c r="H27" s="6">
        <f t="shared" si="6"/>
        <v>1.5746473952029088</v>
      </c>
      <c r="I27" s="16">
        <f t="shared" si="10"/>
        <v>51.020409999999991</v>
      </c>
      <c r="J27" s="7">
        <f t="shared" si="7"/>
        <v>0</v>
      </c>
      <c r="K27" s="7">
        <f t="shared" si="11"/>
        <v>0</v>
      </c>
      <c r="M27" s="14">
        <f t="shared" si="1"/>
        <v>52.693877266666661</v>
      </c>
      <c r="O27" s="1">
        <f t="shared" si="3"/>
        <v>52.401031093749296</v>
      </c>
      <c r="P27" s="1">
        <f t="shared" si="2"/>
        <v>-1.3806210937492978</v>
      </c>
      <c r="Q27" s="1">
        <f t="shared" si="4"/>
        <v>1.9061146045055073</v>
      </c>
    </row>
    <row r="28" spans="3:17" x14ac:dyDescent="0.25">
      <c r="C28" s="27"/>
      <c r="D28" s="1">
        <v>22</v>
      </c>
      <c r="E28" s="20">
        <v>44.897959999999998</v>
      </c>
      <c r="F28" s="6">
        <f t="shared" si="5"/>
        <v>27.982550557536662</v>
      </c>
      <c r="G28" s="11">
        <f t="shared" si="9"/>
        <v>0</v>
      </c>
      <c r="H28" s="6">
        <f t="shared" si="6"/>
        <v>1.6044984858575528</v>
      </c>
      <c r="I28" s="16">
        <f t="shared" si="10"/>
        <v>44.897959999999998</v>
      </c>
      <c r="J28" s="7">
        <f t="shared" si="7"/>
        <v>0</v>
      </c>
      <c r="K28" s="7">
        <f t="shared" si="11"/>
        <v>0</v>
      </c>
      <c r="M28" s="14">
        <f t="shared" si="1"/>
        <v>55.092516599999996</v>
      </c>
      <c r="O28" s="1">
        <f t="shared" si="3"/>
        <v>52.401031093749296</v>
      </c>
      <c r="P28" s="1">
        <f t="shared" si="2"/>
        <v>-7.5030710937492984</v>
      </c>
      <c r="Q28" s="1">
        <f t="shared" si="4"/>
        <v>56.296075837856293</v>
      </c>
    </row>
    <row r="29" spans="3:17" x14ac:dyDescent="0.25">
      <c r="C29" s="27"/>
      <c r="D29" s="1">
        <v>23</v>
      </c>
      <c r="E29" s="20">
        <v>24.897959</v>
      </c>
      <c r="F29" s="6">
        <f t="shared" si="5"/>
        <v>39.717656210557969</v>
      </c>
      <c r="G29" s="11">
        <f t="shared" si="9"/>
        <v>0</v>
      </c>
      <c r="H29" s="6">
        <f t="shared" si="6"/>
        <v>0.62687382326909524</v>
      </c>
      <c r="I29" s="16">
        <f t="shared" si="10"/>
        <v>24.897958999999997</v>
      </c>
      <c r="J29" s="7">
        <f t="shared" si="7"/>
        <v>0</v>
      </c>
      <c r="K29" s="7">
        <f t="shared" si="11"/>
        <v>0</v>
      </c>
      <c r="M29" s="14">
        <f t="shared" si="1"/>
        <v>54.165985933333332</v>
      </c>
      <c r="O29" s="1">
        <f t="shared" si="3"/>
        <v>52.401031093749296</v>
      </c>
      <c r="P29" s="1">
        <f t="shared" si="2"/>
        <v>-27.503072093749296</v>
      </c>
      <c r="Q29" s="1">
        <f t="shared" si="4"/>
        <v>756.41897459397126</v>
      </c>
    </row>
    <row r="30" spans="3:17" x14ac:dyDescent="0.25">
      <c r="C30" s="27"/>
      <c r="D30" s="1">
        <v>24</v>
      </c>
      <c r="E30" s="20">
        <v>71.836730000000003</v>
      </c>
      <c r="F30" s="6">
        <f t="shared" si="5"/>
        <v>100.27080133323878</v>
      </c>
      <c r="G30" s="11">
        <f t="shared" si="9"/>
        <v>0</v>
      </c>
      <c r="H30" s="6">
        <f t="shared" si="6"/>
        <v>0.7164272055756159</v>
      </c>
      <c r="I30" s="16">
        <f t="shared" si="10"/>
        <v>71.836729999999989</v>
      </c>
      <c r="J30" s="7">
        <f t="shared" si="7"/>
        <v>0</v>
      </c>
      <c r="K30" s="7">
        <f t="shared" si="11"/>
        <v>0</v>
      </c>
      <c r="M30" s="14">
        <f t="shared" si="1"/>
        <v>54.039455333333336</v>
      </c>
      <c r="O30" s="1">
        <f t="shared" si="3"/>
        <v>52.401031093749296</v>
      </c>
      <c r="P30" s="1">
        <f t="shared" si="2"/>
        <v>19.435698906250707</v>
      </c>
      <c r="Q30" s="1">
        <f t="shared" si="4"/>
        <v>377.74639197443491</v>
      </c>
    </row>
    <row r="31" spans="3:17" x14ac:dyDescent="0.25">
      <c r="C31" s="27"/>
      <c r="D31" s="1">
        <v>25</v>
      </c>
      <c r="E31" s="20">
        <v>53.469386999999998</v>
      </c>
      <c r="F31" s="6">
        <f t="shared" si="5"/>
        <v>55.975036833469801</v>
      </c>
      <c r="G31" s="11">
        <f t="shared" si="9"/>
        <v>0</v>
      </c>
      <c r="H31" s="6">
        <f t="shared" si="6"/>
        <v>0.95523629862139592</v>
      </c>
      <c r="I31" s="16">
        <f t="shared" si="10"/>
        <v>53.469387000000005</v>
      </c>
      <c r="J31" s="7">
        <f t="shared" si="7"/>
        <v>0</v>
      </c>
      <c r="K31" s="7">
        <f t="shared" si="11"/>
        <v>0</v>
      </c>
      <c r="M31" s="14">
        <f t="shared" si="1"/>
        <v>49.783673333333333</v>
      </c>
      <c r="O31" s="1">
        <f t="shared" si="3"/>
        <v>52.401031093749296</v>
      </c>
      <c r="P31" s="1">
        <f t="shared" si="2"/>
        <v>1.0683559062507015</v>
      </c>
      <c r="Q31" s="1">
        <f t="shared" si="4"/>
        <v>1.1413843424207577</v>
      </c>
    </row>
    <row r="32" spans="3:17" x14ac:dyDescent="0.25">
      <c r="C32" s="27"/>
      <c r="D32" s="1">
        <v>26</v>
      </c>
      <c r="E32" s="20">
        <v>34.285713000000001</v>
      </c>
      <c r="F32" s="6">
        <f t="shared" si="5"/>
        <v>16.017164640800356</v>
      </c>
      <c r="G32" s="11">
        <f t="shared" si="9"/>
        <v>0</v>
      </c>
      <c r="H32" s="6">
        <f t="shared" si="6"/>
        <v>2.1405606902899881</v>
      </c>
      <c r="I32" s="16">
        <f t="shared" si="10"/>
        <v>34.285713000000008</v>
      </c>
      <c r="J32" s="7">
        <f t="shared" si="7"/>
        <v>0</v>
      </c>
      <c r="K32" s="7">
        <f t="shared" si="11"/>
        <v>0</v>
      </c>
      <c r="M32" s="14">
        <f t="shared" si="1"/>
        <v>52.485714199999997</v>
      </c>
      <c r="O32" s="1">
        <f t="shared" si="3"/>
        <v>52.401031093749296</v>
      </c>
      <c r="P32" s="1">
        <f t="shared" si="2"/>
        <v>-18.115318093749295</v>
      </c>
      <c r="Q32" s="1">
        <f t="shared" si="4"/>
        <v>328.1647496377206</v>
      </c>
    </row>
    <row r="33" spans="1:17" x14ac:dyDescent="0.25">
      <c r="C33" s="28" t="s">
        <v>22</v>
      </c>
      <c r="D33" s="1">
        <v>27</v>
      </c>
      <c r="E33" s="4">
        <v>113</v>
      </c>
      <c r="F33" s="7">
        <f t="shared" si="5"/>
        <v>150.97913739083302</v>
      </c>
      <c r="G33" s="10">
        <f>$P$3*(F33-F32)+(1-$P$3)*G32</f>
        <v>0</v>
      </c>
      <c r="H33" s="7">
        <f t="shared" si="6"/>
        <v>0.74844777863236756</v>
      </c>
      <c r="I33" s="16">
        <f t="shared" si="10"/>
        <v>112.99999999999999</v>
      </c>
      <c r="J33" s="7">
        <f t="shared" si="7"/>
        <v>0</v>
      </c>
      <c r="K33" s="7">
        <f t="shared" si="11"/>
        <v>0</v>
      </c>
      <c r="M33" s="14">
        <f t="shared" si="1"/>
        <v>52.4</v>
      </c>
      <c r="O33" s="1">
        <f t="shared" si="3"/>
        <v>52.401031093749296</v>
      </c>
      <c r="P33" s="1">
        <f t="shared" si="2"/>
        <v>60.598968906250704</v>
      </c>
      <c r="Q33" s="1">
        <f t="shared" si="4"/>
        <v>3672.2350325007396</v>
      </c>
    </row>
    <row r="34" spans="1:17" x14ac:dyDescent="0.25">
      <c r="C34" s="28"/>
      <c r="D34" s="1">
        <v>28</v>
      </c>
      <c r="E34" s="5">
        <v>30</v>
      </c>
      <c r="F34" s="7">
        <f t="shared" si="5"/>
        <v>36.110770431584967</v>
      </c>
      <c r="G34" s="10">
        <f t="shared" si="9"/>
        <v>0</v>
      </c>
      <c r="H34" s="7">
        <f t="shared" si="6"/>
        <v>0.83077706848812993</v>
      </c>
      <c r="I34" s="16">
        <f t="shared" si="10"/>
        <v>30.000000000000007</v>
      </c>
      <c r="J34" s="7">
        <f t="shared" si="7"/>
        <v>0</v>
      </c>
      <c r="K34" s="7">
        <f t="shared" si="11"/>
        <v>0</v>
      </c>
      <c r="M34" s="14">
        <f t="shared" si="1"/>
        <v>48.06666666666667</v>
      </c>
      <c r="O34" s="1">
        <f t="shared" si="3"/>
        <v>52.401031093749296</v>
      </c>
      <c r="P34" s="1">
        <f t="shared" si="2"/>
        <v>-22.401031093749296</v>
      </c>
      <c r="Q34" s="1">
        <f t="shared" si="4"/>
        <v>501.8061940631228</v>
      </c>
    </row>
    <row r="35" spans="1:17" x14ac:dyDescent="0.25">
      <c r="C35" s="28"/>
      <c r="D35" s="1">
        <v>29</v>
      </c>
      <c r="E35" s="5">
        <v>94</v>
      </c>
      <c r="F35" s="7">
        <f t="shared" si="5"/>
        <v>202.56978889086295</v>
      </c>
      <c r="G35" s="10">
        <f t="shared" si="9"/>
        <v>0</v>
      </c>
      <c r="H35" s="7">
        <f t="shared" si="6"/>
        <v>0.4640376065684883</v>
      </c>
      <c r="I35" s="16">
        <f t="shared" si="10"/>
        <v>93.999999999999986</v>
      </c>
      <c r="J35" s="7">
        <f t="shared" si="7"/>
        <v>0</v>
      </c>
      <c r="K35" s="7">
        <f t="shared" si="11"/>
        <v>0</v>
      </c>
      <c r="M35" s="14">
        <f t="shared" si="1"/>
        <v>52.866666666666667</v>
      </c>
      <c r="O35" s="1">
        <f t="shared" si="3"/>
        <v>52.401031093749296</v>
      </c>
      <c r="P35" s="1">
        <f t="shared" si="2"/>
        <v>41.598968906250704</v>
      </c>
      <c r="Q35" s="1">
        <f t="shared" si="4"/>
        <v>1730.4742140632129</v>
      </c>
    </row>
    <row r="36" spans="1:17" x14ac:dyDescent="0.25">
      <c r="C36" s="28"/>
      <c r="D36" s="1">
        <v>30</v>
      </c>
      <c r="E36" s="5">
        <v>24</v>
      </c>
      <c r="F36" s="7">
        <f t="shared" si="5"/>
        <v>26.721971657347837</v>
      </c>
      <c r="G36" s="10">
        <f t="shared" si="9"/>
        <v>0</v>
      </c>
      <c r="H36" s="7">
        <f t="shared" si="6"/>
        <v>0.89813731964649524</v>
      </c>
      <c r="I36" s="16">
        <f t="shared" si="10"/>
        <v>24.000000000000014</v>
      </c>
      <c r="J36" s="7">
        <f t="shared" si="7"/>
        <v>0</v>
      </c>
      <c r="K36" s="7">
        <f t="shared" si="11"/>
        <v>0</v>
      </c>
      <c r="M36" s="14">
        <f t="shared" si="1"/>
        <v>49.6</v>
      </c>
      <c r="O36" s="1">
        <f t="shared" si="3"/>
        <v>52.401031093749296</v>
      </c>
      <c r="P36" s="1">
        <f t="shared" si="2"/>
        <v>-28.401031093749296</v>
      </c>
      <c r="Q36" s="1">
        <f t="shared" si="4"/>
        <v>806.6185671881143</v>
      </c>
    </row>
    <row r="37" spans="1:17" x14ac:dyDescent="0.25">
      <c r="C37" s="28"/>
      <c r="D37" s="1">
        <v>31</v>
      </c>
      <c r="E37" s="5">
        <v>26</v>
      </c>
      <c r="F37" s="7">
        <f t="shared" si="5"/>
        <v>24.363319808138183</v>
      </c>
      <c r="G37" s="10">
        <f t="shared" si="9"/>
        <v>0</v>
      </c>
      <c r="H37" s="7">
        <f t="shared" si="6"/>
        <v>1.0671780448949781</v>
      </c>
      <c r="I37" s="16">
        <f t="shared" si="10"/>
        <v>26</v>
      </c>
      <c r="J37" s="7">
        <f t="shared" si="7"/>
        <v>0</v>
      </c>
      <c r="K37" s="7">
        <f t="shared" si="11"/>
        <v>0</v>
      </c>
      <c r="M37" s="14">
        <f t="shared" si="1"/>
        <v>49.333333333333336</v>
      </c>
      <c r="O37" s="1">
        <f t="shared" si="3"/>
        <v>52.401031093749296</v>
      </c>
      <c r="P37" s="1">
        <f t="shared" si="2"/>
        <v>-26.401031093749296</v>
      </c>
      <c r="Q37" s="1">
        <f t="shared" si="4"/>
        <v>697.01444281311717</v>
      </c>
    </row>
    <row r="38" spans="1:17" x14ac:dyDescent="0.25">
      <c r="C38" s="28"/>
      <c r="D38" s="1">
        <v>32</v>
      </c>
      <c r="E38" s="5">
        <v>54</v>
      </c>
      <c r="F38" s="7">
        <f t="shared" si="5"/>
        <v>111.3216259038431</v>
      </c>
      <c r="G38" s="10">
        <f t="shared" si="9"/>
        <v>0</v>
      </c>
      <c r="H38" s="7">
        <f t="shared" si="6"/>
        <v>0.48508094956000625</v>
      </c>
      <c r="I38" s="16">
        <f t="shared" si="10"/>
        <v>53.999999999999993</v>
      </c>
      <c r="J38" s="7">
        <f t="shared" si="7"/>
        <v>0</v>
      </c>
      <c r="K38" s="7">
        <f t="shared" si="11"/>
        <v>0</v>
      </c>
      <c r="M38" s="14">
        <f t="shared" si="1"/>
        <v>49.93333333333333</v>
      </c>
      <c r="O38" s="1">
        <f t="shared" si="3"/>
        <v>52.401031093749296</v>
      </c>
      <c r="P38" s="1">
        <f t="shared" si="2"/>
        <v>1.598968906250704</v>
      </c>
      <c r="Q38" s="1">
        <f t="shared" si="4"/>
        <v>2.5567015631565724</v>
      </c>
    </row>
    <row r="39" spans="1:17" x14ac:dyDescent="0.25">
      <c r="C39" s="28"/>
      <c r="D39" s="1">
        <v>33</v>
      </c>
      <c r="E39" s="5">
        <v>55</v>
      </c>
      <c r="F39" s="7">
        <f t="shared" si="5"/>
        <v>65.22039048737436</v>
      </c>
      <c r="G39" s="10">
        <f t="shared" si="9"/>
        <v>0</v>
      </c>
      <c r="H39" s="7">
        <f t="shared" si="6"/>
        <v>0.84329455234781425</v>
      </c>
      <c r="I39" s="16">
        <f t="shared" si="10"/>
        <v>54.999999999999993</v>
      </c>
      <c r="J39" s="7">
        <f t="shared" si="7"/>
        <v>0</v>
      </c>
      <c r="K39" s="7">
        <f t="shared" si="11"/>
        <v>0</v>
      </c>
      <c r="M39" s="14">
        <f t="shared" ref="M39:M68" si="12">AVERAGE(E39:E53)</f>
        <v>49.06666666666667</v>
      </c>
      <c r="O39" s="1">
        <f t="shared" si="3"/>
        <v>52.401031093749296</v>
      </c>
      <c r="P39" s="1">
        <f t="shared" si="2"/>
        <v>2.598968906250704</v>
      </c>
      <c r="Q39" s="1">
        <f t="shared" si="4"/>
        <v>6.7546393756579803</v>
      </c>
    </row>
    <row r="40" spans="1:17" x14ac:dyDescent="0.25">
      <c r="C40" s="28"/>
      <c r="D40" s="1">
        <v>34</v>
      </c>
      <c r="E40" s="5">
        <v>34</v>
      </c>
      <c r="F40" s="7">
        <f t="shared" si="5"/>
        <v>44.666085530107175</v>
      </c>
      <c r="G40" s="10">
        <f t="shared" si="9"/>
        <v>0</v>
      </c>
      <c r="H40" s="7">
        <f t="shared" si="6"/>
        <v>0.76120393350973858</v>
      </c>
      <c r="I40" s="16">
        <f t="shared" si="10"/>
        <v>34</v>
      </c>
      <c r="J40" s="9">
        <f t="shared" si="7"/>
        <v>0</v>
      </c>
      <c r="K40" s="9">
        <f t="shared" si="11"/>
        <v>0</v>
      </c>
      <c r="M40" s="14">
        <f t="shared" si="12"/>
        <v>46.866666666666667</v>
      </c>
      <c r="O40" s="1">
        <f t="shared" si="3"/>
        <v>52.401031093749296</v>
      </c>
      <c r="P40" s="1">
        <f t="shared" ref="P40:P70" si="13">E40-O40</f>
        <v>-18.401031093749296</v>
      </c>
      <c r="Q40" s="1">
        <f t="shared" si="4"/>
        <v>338.59794531312843</v>
      </c>
    </row>
    <row r="41" spans="1:17" x14ac:dyDescent="0.25">
      <c r="C41" s="28"/>
      <c r="D41" s="1">
        <v>35</v>
      </c>
      <c r="E41" s="5">
        <v>80</v>
      </c>
      <c r="F41" s="7">
        <f t="shared" si="5"/>
        <v>62.324767705739397</v>
      </c>
      <c r="G41" s="10">
        <f t="shared" si="9"/>
        <v>0</v>
      </c>
      <c r="H41" s="7">
        <f t="shared" si="6"/>
        <v>1.2835988475354223</v>
      </c>
      <c r="I41" s="16">
        <f t="shared" si="10"/>
        <v>80</v>
      </c>
      <c r="J41" s="9">
        <f t="shared" si="7"/>
        <v>0</v>
      </c>
      <c r="K41" s="9">
        <f t="shared" si="11"/>
        <v>0</v>
      </c>
      <c r="M41" s="14">
        <f t="shared" si="12"/>
        <v>48.8</v>
      </c>
      <c r="O41" s="1">
        <f t="shared" si="3"/>
        <v>52.401031093749296</v>
      </c>
      <c r="P41" s="1">
        <f t="shared" si="13"/>
        <v>27.598968906250704</v>
      </c>
      <c r="Q41" s="1">
        <f t="shared" si="4"/>
        <v>761.70308468819314</v>
      </c>
    </row>
    <row r="42" spans="1:17" x14ac:dyDescent="0.25">
      <c r="C42" s="28"/>
      <c r="D42" s="1">
        <v>36</v>
      </c>
      <c r="E42" s="5">
        <v>87</v>
      </c>
      <c r="F42" s="7">
        <f t="shared" si="5"/>
        <v>55.250464494490338</v>
      </c>
      <c r="G42" s="10">
        <f t="shared" si="9"/>
        <v>0</v>
      </c>
      <c r="H42" s="7">
        <f t="shared" si="6"/>
        <v>1.5746473952029088</v>
      </c>
      <c r="I42" s="16">
        <f t="shared" si="10"/>
        <v>87</v>
      </c>
      <c r="J42" s="9">
        <f t="shared" si="7"/>
        <v>0</v>
      </c>
      <c r="K42" s="9">
        <f t="shared" si="11"/>
        <v>0</v>
      </c>
      <c r="M42" s="14">
        <f t="shared" si="12"/>
        <v>46.133333333333333</v>
      </c>
      <c r="O42" s="1">
        <f t="shared" si="3"/>
        <v>52.401031093749296</v>
      </c>
      <c r="P42" s="1">
        <f t="shared" si="13"/>
        <v>34.598968906250704</v>
      </c>
      <c r="Q42" s="1">
        <f t="shared" si="4"/>
        <v>1197.088649375703</v>
      </c>
    </row>
    <row r="43" spans="1:17" x14ac:dyDescent="0.25">
      <c r="C43" s="28"/>
      <c r="D43" s="1">
        <v>37</v>
      </c>
      <c r="E43" s="5">
        <v>31</v>
      </c>
      <c r="F43" s="7">
        <f t="shared" si="5"/>
        <v>19.320678874577748</v>
      </c>
      <c r="G43" s="10">
        <f t="shared" si="9"/>
        <v>0</v>
      </c>
      <c r="H43" s="7">
        <f t="shared" si="6"/>
        <v>1.6044984858575526</v>
      </c>
      <c r="I43" s="16">
        <f t="shared" si="10"/>
        <v>31.000000000000004</v>
      </c>
      <c r="J43" s="9">
        <f t="shared" si="7"/>
        <v>0</v>
      </c>
      <c r="K43" s="9">
        <f t="shared" si="11"/>
        <v>0</v>
      </c>
      <c r="M43" s="14">
        <f t="shared" si="12"/>
        <v>47.333333333333336</v>
      </c>
      <c r="O43" s="1">
        <f t="shared" si="3"/>
        <v>52.401031093749296</v>
      </c>
      <c r="P43" s="1">
        <f t="shared" si="13"/>
        <v>-21.401031093749296</v>
      </c>
      <c r="Q43" s="1">
        <f t="shared" si="4"/>
        <v>458.00413187562418</v>
      </c>
    </row>
    <row r="44" spans="1:17" x14ac:dyDescent="0.25">
      <c r="A44" s="1">
        <f>AVERAGE(E7:E21)</f>
        <v>54.376103666666673</v>
      </c>
      <c r="C44" s="28"/>
      <c r="D44" s="1">
        <v>38</v>
      </c>
      <c r="E44" s="5">
        <v>23</v>
      </c>
      <c r="F44" s="7">
        <f t="shared" si="5"/>
        <v>36.689999081564601</v>
      </c>
      <c r="G44" s="10">
        <f t="shared" si="9"/>
        <v>0</v>
      </c>
      <c r="H44" s="7">
        <f t="shared" si="6"/>
        <v>0.62687382326909535</v>
      </c>
      <c r="I44" s="16">
        <f t="shared" si="10"/>
        <v>22.999999999999993</v>
      </c>
      <c r="J44" s="9">
        <f t="shared" si="7"/>
        <v>0</v>
      </c>
      <c r="K44" s="9">
        <f t="shared" si="11"/>
        <v>0</v>
      </c>
      <c r="M44" s="14">
        <f t="shared" si="12"/>
        <v>47.266666666666666</v>
      </c>
      <c r="O44" s="1">
        <f t="shared" si="3"/>
        <v>52.401031093749296</v>
      </c>
      <c r="P44" s="1">
        <f t="shared" si="13"/>
        <v>-29.401031093749296</v>
      </c>
      <c r="Q44" s="1">
        <f t="shared" si="4"/>
        <v>864.42062937561298</v>
      </c>
    </row>
    <row r="45" spans="1:17" x14ac:dyDescent="0.25">
      <c r="C45" s="28"/>
      <c r="D45" s="1">
        <v>39</v>
      </c>
      <c r="E45" s="5">
        <v>8</v>
      </c>
      <c r="F45" s="7">
        <f t="shared" si="5"/>
        <v>11.166521787195915</v>
      </c>
      <c r="G45" s="10">
        <f t="shared" si="9"/>
        <v>0</v>
      </c>
      <c r="H45" s="7">
        <f t="shared" si="6"/>
        <v>0.71642720557561579</v>
      </c>
      <c r="I45" s="16">
        <f t="shared" si="10"/>
        <v>8.0000000000000018</v>
      </c>
      <c r="J45" s="9">
        <f t="shared" si="7"/>
        <v>0</v>
      </c>
      <c r="K45" s="9">
        <f t="shared" si="11"/>
        <v>0</v>
      </c>
      <c r="M45" s="14">
        <f t="shared" si="12"/>
        <v>51.4</v>
      </c>
      <c r="O45" s="1">
        <f t="shared" si="3"/>
        <v>52.401031093749296</v>
      </c>
      <c r="P45" s="1">
        <f t="shared" si="13"/>
        <v>-44.401031093749296</v>
      </c>
      <c r="Q45" s="1">
        <f t="shared" si="4"/>
        <v>1971.4515621880919</v>
      </c>
    </row>
    <row r="46" spans="1:17" x14ac:dyDescent="0.25">
      <c r="C46" s="28"/>
      <c r="D46" s="1">
        <v>40</v>
      </c>
      <c r="E46" s="5">
        <v>94</v>
      </c>
      <c r="F46" s="7">
        <f t="shared" si="5"/>
        <v>98.404970723643444</v>
      </c>
      <c r="G46" s="10">
        <f t="shared" si="9"/>
        <v>0</v>
      </c>
      <c r="H46" s="7">
        <f t="shared" si="6"/>
        <v>0.95523629862139603</v>
      </c>
      <c r="I46" s="16">
        <f t="shared" si="10"/>
        <v>93.999999999999986</v>
      </c>
      <c r="J46" s="9">
        <f t="shared" si="7"/>
        <v>0</v>
      </c>
      <c r="K46" s="9">
        <f t="shared" si="11"/>
        <v>0</v>
      </c>
      <c r="M46" s="14">
        <f t="shared" si="12"/>
        <v>53.133333333333333</v>
      </c>
      <c r="O46" s="1">
        <f t="shared" si="3"/>
        <v>52.401031093749296</v>
      </c>
      <c r="P46" s="1">
        <f t="shared" si="13"/>
        <v>41.598968906250704</v>
      </c>
      <c r="Q46" s="1">
        <f t="shared" si="4"/>
        <v>1730.4742140632129</v>
      </c>
    </row>
    <row r="47" spans="1:17" x14ac:dyDescent="0.25">
      <c r="C47" s="28"/>
      <c r="D47" s="1">
        <v>41</v>
      </c>
      <c r="E47" s="5">
        <v>33</v>
      </c>
      <c r="F47" s="7">
        <f t="shared" si="5"/>
        <v>15.41652154488991</v>
      </c>
      <c r="G47" s="10">
        <f t="shared" si="9"/>
        <v>0</v>
      </c>
      <c r="H47" s="7">
        <f t="shared" si="6"/>
        <v>2.1405606902899867</v>
      </c>
      <c r="I47" s="16">
        <f t="shared" si="10"/>
        <v>33.000000000000021</v>
      </c>
      <c r="J47" s="9">
        <f t="shared" si="7"/>
        <v>0</v>
      </c>
      <c r="K47" s="9">
        <f t="shared" si="11"/>
        <v>0</v>
      </c>
      <c r="M47" s="14">
        <f t="shared" si="12"/>
        <v>49.533333333333331</v>
      </c>
      <c r="O47" s="1">
        <f t="shared" si="3"/>
        <v>52.401031093749296</v>
      </c>
      <c r="P47" s="1">
        <f t="shared" si="13"/>
        <v>-19.401031093749296</v>
      </c>
      <c r="Q47" s="1">
        <f t="shared" si="4"/>
        <v>376.400007500627</v>
      </c>
    </row>
    <row r="48" spans="1:17" x14ac:dyDescent="0.25">
      <c r="C48" s="28"/>
      <c r="D48" s="1">
        <v>42</v>
      </c>
      <c r="E48" s="5">
        <v>48</v>
      </c>
      <c r="F48" s="7">
        <f t="shared" si="5"/>
        <v>64.132730927079493</v>
      </c>
      <c r="G48" s="10">
        <f t="shared" si="9"/>
        <v>0</v>
      </c>
      <c r="H48" s="7">
        <f t="shared" si="6"/>
        <v>0.74844777863236778</v>
      </c>
      <c r="I48" s="16">
        <f t="shared" si="10"/>
        <v>47.999999999999986</v>
      </c>
      <c r="J48" s="9">
        <f t="shared" si="7"/>
        <v>0</v>
      </c>
      <c r="K48" s="9">
        <f t="shared" si="11"/>
        <v>0</v>
      </c>
      <c r="M48" s="14">
        <f t="shared" si="12"/>
        <v>50.733333333333334</v>
      </c>
      <c r="O48" s="1">
        <f t="shared" si="3"/>
        <v>52.401031093749296</v>
      </c>
      <c r="P48" s="1">
        <f t="shared" si="13"/>
        <v>-4.401031093749296</v>
      </c>
      <c r="Q48" s="1">
        <f t="shared" si="4"/>
        <v>19.369074688148125</v>
      </c>
    </row>
    <row r="49" spans="3:25" x14ac:dyDescent="0.25">
      <c r="C49" s="28"/>
      <c r="D49" s="1">
        <v>43</v>
      </c>
      <c r="E49" s="5">
        <v>102</v>
      </c>
      <c r="F49" s="7">
        <f t="shared" si="5"/>
        <v>122.77661946738888</v>
      </c>
      <c r="G49" s="10">
        <f t="shared" si="9"/>
        <v>0</v>
      </c>
      <c r="H49" s="7">
        <f t="shared" si="6"/>
        <v>0.83077706848812993</v>
      </c>
      <c r="I49" s="16">
        <f t="shared" si="10"/>
        <v>102</v>
      </c>
      <c r="J49" s="9">
        <f t="shared" si="7"/>
        <v>0</v>
      </c>
      <c r="K49" s="9">
        <f t="shared" si="11"/>
        <v>0</v>
      </c>
      <c r="M49" s="14">
        <f t="shared" si="12"/>
        <v>55.2</v>
      </c>
      <c r="O49" s="1">
        <f t="shared" si="3"/>
        <v>52.401031093749296</v>
      </c>
      <c r="P49" s="1">
        <f t="shared" si="13"/>
        <v>49.598968906250704</v>
      </c>
      <c r="Q49" s="1">
        <f t="shared" si="4"/>
        <v>2460.0577165632239</v>
      </c>
    </row>
    <row r="50" spans="3:25" x14ac:dyDescent="0.25">
      <c r="C50" s="28"/>
      <c r="D50" s="1">
        <v>44</v>
      </c>
      <c r="E50" s="5">
        <v>45</v>
      </c>
      <c r="F50" s="7">
        <f t="shared" si="5"/>
        <v>96.974898937115242</v>
      </c>
      <c r="G50" s="10">
        <f t="shared" si="9"/>
        <v>0</v>
      </c>
      <c r="H50" s="7">
        <f t="shared" si="6"/>
        <v>0.46403760656848836</v>
      </c>
      <c r="I50" s="16">
        <f t="shared" si="10"/>
        <v>45</v>
      </c>
      <c r="J50" s="9">
        <f t="shared" si="7"/>
        <v>0</v>
      </c>
      <c r="K50" s="9">
        <f t="shared" si="11"/>
        <v>0</v>
      </c>
      <c r="M50" s="14">
        <f t="shared" si="12"/>
        <v>51.2</v>
      </c>
      <c r="O50" s="1">
        <f t="shared" si="3"/>
        <v>52.401031093749296</v>
      </c>
      <c r="P50" s="1">
        <f t="shared" si="13"/>
        <v>-7.401031093749296</v>
      </c>
      <c r="Q50" s="1">
        <f t="shared" si="4"/>
        <v>54.775261250643901</v>
      </c>
    </row>
    <row r="51" spans="3:25" x14ac:dyDescent="0.25">
      <c r="C51" s="28"/>
      <c r="D51" s="1">
        <v>45</v>
      </c>
      <c r="E51" s="5">
        <v>20</v>
      </c>
      <c r="F51" s="7">
        <f t="shared" si="5"/>
        <v>22.268309714456539</v>
      </c>
      <c r="G51" s="10">
        <f t="shared" si="9"/>
        <v>0</v>
      </c>
      <c r="H51" s="7">
        <f t="shared" si="6"/>
        <v>0.8981373196464949</v>
      </c>
      <c r="I51" s="16">
        <f t="shared" si="10"/>
        <v>20.000000000000007</v>
      </c>
      <c r="J51" s="9">
        <f t="shared" si="7"/>
        <v>0</v>
      </c>
      <c r="K51" s="9">
        <f t="shared" si="11"/>
        <v>0</v>
      </c>
      <c r="M51" s="14">
        <f t="shared" si="12"/>
        <v>51.06666666666667</v>
      </c>
      <c r="O51" s="1">
        <f t="shared" si="3"/>
        <v>52.401031093749296</v>
      </c>
      <c r="P51" s="1">
        <f t="shared" si="13"/>
        <v>-32.401031093749296</v>
      </c>
      <c r="Q51" s="1">
        <f t="shared" si="4"/>
        <v>1049.8268159381087</v>
      </c>
    </row>
    <row r="52" spans="3:25" x14ac:dyDescent="0.25">
      <c r="C52" s="28"/>
      <c r="D52" s="1">
        <v>46</v>
      </c>
      <c r="E52" s="5">
        <v>35</v>
      </c>
      <c r="F52" s="7">
        <f t="shared" si="5"/>
        <v>32.796776664801392</v>
      </c>
      <c r="G52" s="10">
        <f>$P$3*(F52-F51)+(1-$P$3)*G51</f>
        <v>0</v>
      </c>
      <c r="H52" s="7">
        <f t="shared" si="6"/>
        <v>1.0671780448949784</v>
      </c>
      <c r="I52" s="16">
        <f t="shared" si="10"/>
        <v>34.999999999999993</v>
      </c>
      <c r="J52" s="9">
        <f t="shared" si="7"/>
        <v>0</v>
      </c>
      <c r="K52" s="9">
        <f t="shared" si="11"/>
        <v>0</v>
      </c>
      <c r="M52" s="14">
        <f t="shared" si="12"/>
        <v>51.4</v>
      </c>
      <c r="O52" s="1">
        <f t="shared" si="3"/>
        <v>52.401031093749296</v>
      </c>
      <c r="P52" s="1">
        <f t="shared" si="13"/>
        <v>-17.401031093749296</v>
      </c>
      <c r="Q52" s="1">
        <f t="shared" si="4"/>
        <v>302.79588312562981</v>
      </c>
    </row>
    <row r="53" spans="3:25" x14ac:dyDescent="0.25">
      <c r="C53" s="28"/>
      <c r="D53" s="1">
        <v>47</v>
      </c>
      <c r="E53" s="5">
        <v>41</v>
      </c>
      <c r="F53" s="7">
        <f t="shared" si="5"/>
        <v>84.521975223288266</v>
      </c>
      <c r="G53" s="10">
        <f t="shared" si="9"/>
        <v>0</v>
      </c>
      <c r="H53" s="7">
        <f t="shared" si="6"/>
        <v>0.48508094956000636</v>
      </c>
      <c r="I53" s="16">
        <f t="shared" si="10"/>
        <v>40.999999999999993</v>
      </c>
      <c r="J53" s="9">
        <f t="shared" si="7"/>
        <v>0</v>
      </c>
      <c r="K53" s="9">
        <f t="shared" si="11"/>
        <v>0</v>
      </c>
      <c r="M53" s="14">
        <f t="shared" si="12"/>
        <v>52.266666666666666</v>
      </c>
      <c r="O53" s="1">
        <f t="shared" si="3"/>
        <v>52.401031093749296</v>
      </c>
      <c r="P53" s="1">
        <f t="shared" si="13"/>
        <v>-11.401031093749296</v>
      </c>
      <c r="Q53" s="1">
        <f t="shared" si="4"/>
        <v>129.98351000063826</v>
      </c>
    </row>
    <row r="54" spans="3:25" x14ac:dyDescent="0.25">
      <c r="C54" s="28"/>
      <c r="D54" s="1">
        <v>48</v>
      </c>
      <c r="E54" s="5">
        <v>22</v>
      </c>
      <c r="F54" s="7">
        <f t="shared" ref="F54:F85" si="14">$P$2*(E54/H39)+(1-$P$2)*(F53+G53)</f>
        <v>26.08815619494975</v>
      </c>
      <c r="G54" s="10">
        <f t="shared" si="9"/>
        <v>0</v>
      </c>
      <c r="H54" s="7">
        <f t="shared" ref="H54:H85" si="15">$P$4*(E54/F54)+(1-$P$4)*H39</f>
        <v>0.84329455234781403</v>
      </c>
      <c r="I54" s="16">
        <f t="shared" si="10"/>
        <v>22.000000000000007</v>
      </c>
      <c r="J54" s="9">
        <f t="shared" ref="J54:J85" si="16">E54-I54</f>
        <v>0</v>
      </c>
      <c r="K54" s="9">
        <f t="shared" si="11"/>
        <v>0</v>
      </c>
      <c r="M54" s="14">
        <f t="shared" si="12"/>
        <v>51.06666666666667</v>
      </c>
      <c r="O54" s="1">
        <f t="shared" si="3"/>
        <v>52.401031093749296</v>
      </c>
      <c r="P54" s="1">
        <f t="shared" si="13"/>
        <v>-30.401031093749296</v>
      </c>
      <c r="Q54" s="1">
        <f t="shared" si="4"/>
        <v>924.22269156311154</v>
      </c>
    </row>
    <row r="55" spans="3:25" x14ac:dyDescent="0.25">
      <c r="C55" s="28"/>
      <c r="D55" s="1">
        <v>49</v>
      </c>
      <c r="E55" s="5">
        <v>63</v>
      </c>
      <c r="F55" s="7">
        <f t="shared" si="14"/>
        <v>82.763629070492698</v>
      </c>
      <c r="G55" s="10">
        <f t="shared" si="9"/>
        <v>0</v>
      </c>
      <c r="H55" s="7">
        <f t="shared" si="15"/>
        <v>0.76120393350973869</v>
      </c>
      <c r="I55" s="16">
        <f t="shared" si="10"/>
        <v>62.999999999999993</v>
      </c>
      <c r="J55" s="9">
        <f t="shared" si="16"/>
        <v>0</v>
      </c>
      <c r="K55" s="9">
        <f t="shared" si="11"/>
        <v>0</v>
      </c>
      <c r="M55" s="14">
        <f t="shared" si="12"/>
        <v>51.8</v>
      </c>
      <c r="O55" s="1">
        <f t="shared" si="3"/>
        <v>52.401031093749296</v>
      </c>
      <c r="P55" s="1">
        <f t="shared" si="13"/>
        <v>10.598968906250704</v>
      </c>
      <c r="Q55" s="1">
        <f t="shared" si="4"/>
        <v>112.33814187566925</v>
      </c>
    </row>
    <row r="56" spans="3:25" x14ac:dyDescent="0.25">
      <c r="C56" s="28"/>
      <c r="D56" s="1">
        <v>50</v>
      </c>
      <c r="E56" s="5">
        <v>40</v>
      </c>
      <c r="F56" s="7">
        <f t="shared" si="14"/>
        <v>31.162383852869706</v>
      </c>
      <c r="G56" s="10">
        <f t="shared" si="9"/>
        <v>0</v>
      </c>
      <c r="H56" s="7">
        <f t="shared" si="15"/>
        <v>1.2835988475354221</v>
      </c>
      <c r="I56" s="16">
        <f t="shared" si="10"/>
        <v>40.000000000000007</v>
      </c>
      <c r="J56" s="9">
        <f t="shared" si="16"/>
        <v>0</v>
      </c>
      <c r="K56" s="9">
        <f t="shared" si="11"/>
        <v>0</v>
      </c>
      <c r="M56" s="14">
        <f t="shared" si="12"/>
        <v>55.866666666666667</v>
      </c>
      <c r="O56" s="1">
        <f t="shared" si="3"/>
        <v>52.401031093749296</v>
      </c>
      <c r="P56" s="1">
        <f t="shared" si="13"/>
        <v>-12.401031093749296</v>
      </c>
      <c r="Q56" s="1">
        <f t="shared" si="4"/>
        <v>153.78557218813685</v>
      </c>
    </row>
    <row r="57" spans="3:25" x14ac:dyDescent="0.25">
      <c r="C57" s="28"/>
      <c r="D57" s="1">
        <v>51</v>
      </c>
      <c r="E57" s="5">
        <v>105</v>
      </c>
      <c r="F57" s="7">
        <f t="shared" si="14"/>
        <v>66.681595079557283</v>
      </c>
      <c r="G57" s="10">
        <f t="shared" si="9"/>
        <v>0</v>
      </c>
      <c r="H57" s="7">
        <f t="shared" si="15"/>
        <v>1.5746473952029092</v>
      </c>
      <c r="I57" s="16">
        <f t="shared" si="10"/>
        <v>104.99999999999997</v>
      </c>
      <c r="J57" s="9">
        <f t="shared" si="16"/>
        <v>0</v>
      </c>
      <c r="K57" s="9">
        <f t="shared" si="11"/>
        <v>0</v>
      </c>
      <c r="M57" s="14">
        <f t="shared" si="12"/>
        <v>55.8</v>
      </c>
      <c r="O57" s="1">
        <f t="shared" si="3"/>
        <v>52.401031093749296</v>
      </c>
      <c r="P57" s="1">
        <f t="shared" si="13"/>
        <v>52.598968906250704</v>
      </c>
      <c r="Q57" s="1">
        <f t="shared" si="4"/>
        <v>2766.6515300007286</v>
      </c>
    </row>
    <row r="58" spans="3:25" x14ac:dyDescent="0.25">
      <c r="C58" s="28"/>
      <c r="D58" s="1">
        <v>52</v>
      </c>
      <c r="E58" s="12">
        <v>30</v>
      </c>
      <c r="F58" s="7">
        <f t="shared" si="14"/>
        <v>18.69743116894621</v>
      </c>
      <c r="G58" s="10">
        <f t="shared" si="9"/>
        <v>0</v>
      </c>
      <c r="H58" s="7">
        <f t="shared" si="15"/>
        <v>1.6044984858575524</v>
      </c>
      <c r="I58" s="16">
        <f t="shared" si="10"/>
        <v>30.000000000000004</v>
      </c>
      <c r="J58" s="9">
        <f t="shared" si="16"/>
        <v>0</v>
      </c>
      <c r="K58" s="9">
        <f t="shared" si="11"/>
        <v>0</v>
      </c>
      <c r="M58" s="14">
        <f t="shared" si="12"/>
        <v>51.6</v>
      </c>
      <c r="O58" s="1">
        <f t="shared" si="3"/>
        <v>52.401031093749296</v>
      </c>
      <c r="P58" s="1">
        <f t="shared" si="13"/>
        <v>-22.401031093749296</v>
      </c>
      <c r="Q58" s="1">
        <f t="shared" si="4"/>
        <v>501.8061940631228</v>
      </c>
    </row>
    <row r="59" spans="3:25" x14ac:dyDescent="0.25">
      <c r="C59" s="29" t="s">
        <v>23</v>
      </c>
      <c r="D59" s="1">
        <v>53</v>
      </c>
      <c r="E59" s="12">
        <v>85</v>
      </c>
      <c r="F59" s="7">
        <f t="shared" si="14"/>
        <v>135.59347486665177</v>
      </c>
      <c r="G59" s="10">
        <f t="shared" si="9"/>
        <v>0</v>
      </c>
      <c r="H59" s="7">
        <f t="shared" si="15"/>
        <v>0.62687382326909546</v>
      </c>
      <c r="I59" s="16">
        <f t="shared" si="10"/>
        <v>84.999999999999986</v>
      </c>
      <c r="J59" s="9">
        <f t="shared" si="16"/>
        <v>0</v>
      </c>
      <c r="K59" s="9">
        <f t="shared" si="11"/>
        <v>0</v>
      </c>
      <c r="M59" s="14">
        <f t="shared" si="12"/>
        <v>53.06666666666667</v>
      </c>
      <c r="O59" s="1">
        <f t="shared" si="3"/>
        <v>52.401031093749296</v>
      </c>
      <c r="P59" s="1">
        <f t="shared" si="13"/>
        <v>32.598968906250704</v>
      </c>
      <c r="Q59" s="1">
        <f t="shared" si="4"/>
        <v>1062.6927737507003</v>
      </c>
    </row>
    <row r="60" spans="3:25" x14ac:dyDescent="0.25">
      <c r="C60" s="29"/>
      <c r="D60" s="1">
        <v>54</v>
      </c>
      <c r="E60" s="12">
        <v>34</v>
      </c>
      <c r="F60" s="7">
        <f t="shared" si="14"/>
        <v>47.457717595582643</v>
      </c>
      <c r="G60" s="10">
        <f t="shared" si="9"/>
        <v>0</v>
      </c>
      <c r="H60" s="7">
        <f t="shared" si="15"/>
        <v>0.71642720557561568</v>
      </c>
      <c r="I60" s="16">
        <f t="shared" si="10"/>
        <v>34.000000000000007</v>
      </c>
      <c r="J60" s="9">
        <f t="shared" si="16"/>
        <v>0</v>
      </c>
      <c r="K60" s="9">
        <f t="shared" si="11"/>
        <v>0</v>
      </c>
      <c r="M60" s="14">
        <f t="shared" si="12"/>
        <v>50.466666666666669</v>
      </c>
      <c r="O60" s="1">
        <f t="shared" si="3"/>
        <v>52.401031093749296</v>
      </c>
      <c r="P60" s="1">
        <f t="shared" si="13"/>
        <v>-18.401031093749296</v>
      </c>
      <c r="Q60" s="1">
        <f t="shared" si="4"/>
        <v>338.59794531312843</v>
      </c>
    </row>
    <row r="61" spans="3:25" x14ac:dyDescent="0.25">
      <c r="C61" s="29"/>
      <c r="D61" s="1">
        <v>55</v>
      </c>
      <c r="E61" s="12">
        <v>40</v>
      </c>
      <c r="F61" s="7">
        <f t="shared" si="14"/>
        <v>41.874455627082313</v>
      </c>
      <c r="G61" s="10">
        <f t="shared" si="9"/>
        <v>0</v>
      </c>
      <c r="H61" s="7">
        <f t="shared" si="15"/>
        <v>0.95523629862139614</v>
      </c>
      <c r="I61" s="16">
        <f t="shared" si="10"/>
        <v>40</v>
      </c>
      <c r="J61" s="9">
        <f t="shared" si="16"/>
        <v>0</v>
      </c>
      <c r="K61" s="9">
        <f t="shared" si="11"/>
        <v>0</v>
      </c>
      <c r="M61" s="14">
        <f t="shared" si="12"/>
        <v>50.06666666666667</v>
      </c>
      <c r="O61" s="1">
        <f t="shared" si="3"/>
        <v>52.401031093749296</v>
      </c>
      <c r="P61" s="1">
        <f t="shared" si="13"/>
        <v>-12.401031093749296</v>
      </c>
      <c r="Q61" s="1">
        <f t="shared" si="4"/>
        <v>153.78557218813685</v>
      </c>
      <c r="W61" s="1" t="s">
        <v>12</v>
      </c>
      <c r="Y61" s="1" t="s">
        <v>14</v>
      </c>
    </row>
    <row r="62" spans="3:25" x14ac:dyDescent="0.25">
      <c r="C62" s="29"/>
      <c r="D62" s="1">
        <v>56</v>
      </c>
      <c r="E62" s="12">
        <v>51</v>
      </c>
      <c r="F62" s="7">
        <f t="shared" si="14"/>
        <v>23.825533296648043</v>
      </c>
      <c r="G62" s="10">
        <f t="shared" si="9"/>
        <v>0</v>
      </c>
      <c r="H62" s="7">
        <f t="shared" si="15"/>
        <v>2.1405606902899867</v>
      </c>
      <c r="I62" s="16">
        <f t="shared" si="10"/>
        <v>51</v>
      </c>
      <c r="J62" s="9">
        <f t="shared" si="16"/>
        <v>0</v>
      </c>
      <c r="K62" s="9">
        <f t="shared" si="11"/>
        <v>0</v>
      </c>
      <c r="M62" s="14">
        <f t="shared" si="12"/>
        <v>52.2</v>
      </c>
      <c r="O62" s="1">
        <f t="shared" si="3"/>
        <v>52.401031093749296</v>
      </c>
      <c r="P62" s="1">
        <f t="shared" si="13"/>
        <v>-1.401031093749296</v>
      </c>
      <c r="Q62" s="1">
        <f t="shared" si="4"/>
        <v>1.9628881256523487</v>
      </c>
      <c r="W62" s="1">
        <f>AVERAGE(E85:E110)</f>
        <v>56.96153846153846</v>
      </c>
      <c r="Y62" s="1">
        <f>AVERAGE(E59:E84)</f>
        <v>56.96153846153846</v>
      </c>
    </row>
    <row r="63" spans="3:25" x14ac:dyDescent="0.25">
      <c r="C63" s="29"/>
      <c r="D63" s="1">
        <v>57</v>
      </c>
      <c r="E63" s="12">
        <v>115</v>
      </c>
      <c r="F63" s="7">
        <f t="shared" si="14"/>
        <v>153.65133451279459</v>
      </c>
      <c r="G63" s="10">
        <f t="shared" si="9"/>
        <v>0</v>
      </c>
      <c r="H63" s="7">
        <f t="shared" si="15"/>
        <v>0.74844777863236789</v>
      </c>
      <c r="I63" s="16">
        <f t="shared" si="10"/>
        <v>114.99999999999997</v>
      </c>
      <c r="J63" s="9">
        <f t="shared" si="16"/>
        <v>0</v>
      </c>
      <c r="K63" s="9">
        <f t="shared" si="11"/>
        <v>0</v>
      </c>
      <c r="M63" s="14">
        <f t="shared" si="12"/>
        <v>52.266666666666666</v>
      </c>
      <c r="O63" s="1">
        <f t="shared" si="3"/>
        <v>52.401031093749296</v>
      </c>
      <c r="P63" s="1">
        <f t="shared" si="13"/>
        <v>62.598968906250704</v>
      </c>
      <c r="Q63" s="1">
        <f t="shared" si="4"/>
        <v>3918.6309081257423</v>
      </c>
      <c r="V63" s="1" t="s">
        <v>13</v>
      </c>
      <c r="W63" s="1">
        <f>W62/Y62</f>
        <v>1</v>
      </c>
    </row>
    <row r="64" spans="3:25" x14ac:dyDescent="0.25">
      <c r="C64" s="29"/>
      <c r="D64" s="1">
        <v>58</v>
      </c>
      <c r="E64" s="12">
        <v>42</v>
      </c>
      <c r="F64" s="7">
        <f t="shared" si="14"/>
        <v>50.555078604218956</v>
      </c>
      <c r="G64" s="10">
        <f t="shared" si="9"/>
        <v>0</v>
      </c>
      <c r="H64" s="7">
        <f t="shared" si="15"/>
        <v>0.83077706848812982</v>
      </c>
      <c r="I64" s="16">
        <f t="shared" si="10"/>
        <v>42.000000000000007</v>
      </c>
      <c r="J64" s="9">
        <f t="shared" si="16"/>
        <v>0</v>
      </c>
      <c r="K64" s="9">
        <f t="shared" si="11"/>
        <v>0</v>
      </c>
      <c r="M64" s="14">
        <f t="shared" si="12"/>
        <v>47.133333333333333</v>
      </c>
      <c r="O64" s="1">
        <f t="shared" si="3"/>
        <v>52.401031093749296</v>
      </c>
      <c r="P64" s="1">
        <f t="shared" si="13"/>
        <v>-10.401031093749296</v>
      </c>
      <c r="Q64" s="1">
        <f t="shared" si="4"/>
        <v>108.18144781313968</v>
      </c>
    </row>
    <row r="65" spans="3:17" x14ac:dyDescent="0.25">
      <c r="C65" s="29"/>
      <c r="D65" s="1">
        <v>59</v>
      </c>
      <c r="E65" s="12">
        <v>43</v>
      </c>
      <c r="F65" s="7">
        <f t="shared" si="14"/>
        <v>92.664903428798993</v>
      </c>
      <c r="G65" s="10">
        <f t="shared" si="9"/>
        <v>0</v>
      </c>
      <c r="H65" s="7">
        <f t="shared" si="15"/>
        <v>0.46403760656848841</v>
      </c>
      <c r="I65" s="16">
        <f t="shared" si="10"/>
        <v>42.999999999999993</v>
      </c>
      <c r="J65" s="9">
        <f t="shared" si="16"/>
        <v>0</v>
      </c>
      <c r="K65" s="9">
        <f t="shared" si="11"/>
        <v>0</v>
      </c>
      <c r="M65" s="14">
        <f t="shared" si="12"/>
        <v>49.666666666666664</v>
      </c>
      <c r="O65" s="1">
        <f t="shared" si="3"/>
        <v>52.401031093749296</v>
      </c>
      <c r="P65" s="1">
        <f t="shared" si="13"/>
        <v>-9.401031093749296</v>
      </c>
      <c r="Q65" s="1">
        <f t="shared" si="4"/>
        <v>88.379385625641092</v>
      </c>
    </row>
    <row r="66" spans="3:17" x14ac:dyDescent="0.25">
      <c r="C66" s="29"/>
      <c r="D66" s="1">
        <v>60</v>
      </c>
      <c r="E66" s="12">
        <v>25</v>
      </c>
      <c r="F66" s="7">
        <f t="shared" si="14"/>
        <v>27.83538714307068</v>
      </c>
      <c r="G66" s="10">
        <f t="shared" si="9"/>
        <v>0</v>
      </c>
      <c r="H66" s="7">
        <f t="shared" si="15"/>
        <v>0.89813731964649468</v>
      </c>
      <c r="I66" s="16">
        <f t="shared" si="10"/>
        <v>25.000000000000007</v>
      </c>
      <c r="J66" s="9">
        <f t="shared" si="16"/>
        <v>0</v>
      </c>
      <c r="K66" s="9">
        <f t="shared" si="11"/>
        <v>0</v>
      </c>
      <c r="M66" s="14">
        <f t="shared" si="12"/>
        <v>52.333333333333336</v>
      </c>
      <c r="O66" s="1">
        <f t="shared" si="3"/>
        <v>52.401031093749296</v>
      </c>
      <c r="P66" s="1">
        <f t="shared" si="13"/>
        <v>-27.401031093749296</v>
      </c>
      <c r="Q66" s="1">
        <f t="shared" si="4"/>
        <v>750.81650500061573</v>
      </c>
    </row>
    <row r="67" spans="3:17" x14ac:dyDescent="0.25">
      <c r="C67" s="29"/>
      <c r="D67" s="1">
        <v>61</v>
      </c>
      <c r="E67" s="12">
        <v>48</v>
      </c>
      <c r="F67" s="7">
        <f t="shared" si="14"/>
        <v>44.978436568870478</v>
      </c>
      <c r="G67" s="10">
        <f t="shared" si="9"/>
        <v>0</v>
      </c>
      <c r="H67" s="7">
        <f t="shared" si="15"/>
        <v>1.0671780448949784</v>
      </c>
      <c r="I67" s="16">
        <f t="shared" si="10"/>
        <v>47.999999999999993</v>
      </c>
      <c r="J67" s="9">
        <f t="shared" si="16"/>
        <v>0</v>
      </c>
      <c r="K67" s="9">
        <f t="shared" si="11"/>
        <v>0</v>
      </c>
      <c r="M67" s="14">
        <f t="shared" si="12"/>
        <v>55.133333333333333</v>
      </c>
      <c r="O67" s="1">
        <f t="shared" si="3"/>
        <v>52.401031093749296</v>
      </c>
      <c r="P67" s="1">
        <f t="shared" si="13"/>
        <v>-4.401031093749296</v>
      </c>
      <c r="Q67" s="1">
        <f t="shared" si="4"/>
        <v>19.369074688148125</v>
      </c>
    </row>
    <row r="68" spans="3:17" x14ac:dyDescent="0.25">
      <c r="C68" s="29"/>
      <c r="D68" s="1">
        <v>62</v>
      </c>
      <c r="E68" s="12">
        <v>23</v>
      </c>
      <c r="F68" s="7">
        <f t="shared" si="14"/>
        <v>47.414766588673899</v>
      </c>
      <c r="G68" s="10">
        <f t="shared" si="9"/>
        <v>0</v>
      </c>
      <c r="H68" s="7">
        <f t="shared" si="15"/>
        <v>0.48508094956000641</v>
      </c>
      <c r="I68" s="16">
        <f t="shared" si="10"/>
        <v>23</v>
      </c>
      <c r="J68" s="9">
        <f t="shared" si="16"/>
        <v>0</v>
      </c>
      <c r="K68" s="9">
        <f t="shared" si="11"/>
        <v>0</v>
      </c>
      <c r="M68" s="14">
        <f t="shared" si="12"/>
        <v>52.2</v>
      </c>
      <c r="O68" s="1">
        <f t="shared" si="3"/>
        <v>52.401031093749296</v>
      </c>
      <c r="P68" s="1">
        <f t="shared" si="13"/>
        <v>-29.401031093749296</v>
      </c>
      <c r="Q68" s="1">
        <f t="shared" si="4"/>
        <v>864.42062937561298</v>
      </c>
    </row>
    <row r="69" spans="3:17" x14ac:dyDescent="0.25">
      <c r="C69" s="29"/>
      <c r="D69" s="1">
        <v>63</v>
      </c>
      <c r="E69" s="12">
        <v>33</v>
      </c>
      <c r="F69" s="7">
        <f t="shared" si="14"/>
        <v>39.13223429242462</v>
      </c>
      <c r="G69" s="10">
        <f t="shared" si="9"/>
        <v>0</v>
      </c>
      <c r="H69" s="7">
        <f t="shared" si="15"/>
        <v>0.84329455234781414</v>
      </c>
      <c r="I69" s="16">
        <f t="shared" si="10"/>
        <v>33</v>
      </c>
      <c r="J69" s="9">
        <f t="shared" si="16"/>
        <v>0</v>
      </c>
      <c r="K69" s="9">
        <f t="shared" si="11"/>
        <v>0</v>
      </c>
      <c r="M69" s="14">
        <f>AVERAGE(E69:E83)</f>
        <v>56.8</v>
      </c>
      <c r="O69" s="1">
        <f t="shared" si="3"/>
        <v>52.401031093749296</v>
      </c>
      <c r="P69" s="1">
        <f t="shared" si="13"/>
        <v>-19.401031093749296</v>
      </c>
      <c r="Q69" s="1">
        <f t="shared" si="4"/>
        <v>376.400007500627</v>
      </c>
    </row>
    <row r="70" spans="3:17" x14ac:dyDescent="0.25">
      <c r="C70" s="29"/>
      <c r="D70" s="1">
        <v>64</v>
      </c>
      <c r="E70" s="12">
        <v>124</v>
      </c>
      <c r="F70" s="7">
        <f t="shared" si="14"/>
        <v>162.89984134509672</v>
      </c>
      <c r="G70" s="10">
        <f t="shared" si="9"/>
        <v>0</v>
      </c>
      <c r="H70" s="7">
        <f t="shared" si="15"/>
        <v>0.76120393350973881</v>
      </c>
      <c r="I70" s="16">
        <f t="shared" si="10"/>
        <v>123.99999999999999</v>
      </c>
      <c r="J70" s="9">
        <f t="shared" si="16"/>
        <v>0</v>
      </c>
      <c r="K70" s="9">
        <f t="shared" si="11"/>
        <v>0</v>
      </c>
      <c r="M70" s="14">
        <f>AVERAGE(E70:E84)</f>
        <v>62.8</v>
      </c>
      <c r="O70" s="1">
        <f t="shared" si="3"/>
        <v>52.401031093749296</v>
      </c>
      <c r="P70" s="1">
        <f t="shared" si="13"/>
        <v>71.598968906250704</v>
      </c>
      <c r="Q70" s="1">
        <f t="shared" si="4"/>
        <v>5126.4123484382553</v>
      </c>
    </row>
    <row r="71" spans="3:17" x14ac:dyDescent="0.25">
      <c r="C71" s="29"/>
      <c r="D71" s="1">
        <v>65</v>
      </c>
      <c r="E71" s="12">
        <v>39</v>
      </c>
      <c r="F71" s="7">
        <f t="shared" si="14"/>
        <v>30.383324256547976</v>
      </c>
      <c r="G71" s="10">
        <f t="shared" si="9"/>
        <v>0</v>
      </c>
      <c r="H71" s="7">
        <f t="shared" si="15"/>
        <v>1.2835988475354216</v>
      </c>
      <c r="I71" s="16">
        <f t="shared" si="10"/>
        <v>39.000000000000014</v>
      </c>
      <c r="J71" s="9">
        <f t="shared" si="16"/>
        <v>0</v>
      </c>
      <c r="K71" s="9">
        <f t="shared" si="11"/>
        <v>0</v>
      </c>
    </row>
    <row r="72" spans="3:17" x14ac:dyDescent="0.25">
      <c r="C72" s="29"/>
      <c r="D72" s="1">
        <v>66</v>
      </c>
      <c r="E72" s="12">
        <v>42</v>
      </c>
      <c r="F72" s="7">
        <f t="shared" si="14"/>
        <v>26.672638031822913</v>
      </c>
      <c r="G72" s="10">
        <f t="shared" si="9"/>
        <v>0</v>
      </c>
      <c r="H72" s="7">
        <f t="shared" si="15"/>
        <v>1.5746473952029092</v>
      </c>
      <c r="I72" s="16">
        <f t="shared" si="10"/>
        <v>42</v>
      </c>
      <c r="J72" s="9">
        <f t="shared" si="16"/>
        <v>0</v>
      </c>
      <c r="K72" s="9">
        <f t="shared" si="11"/>
        <v>0</v>
      </c>
    </row>
    <row r="73" spans="3:17" x14ac:dyDescent="0.25">
      <c r="C73" s="29"/>
      <c r="D73" s="1">
        <v>67</v>
      </c>
      <c r="E73" s="12">
        <v>52</v>
      </c>
      <c r="F73" s="7">
        <f t="shared" si="14"/>
        <v>32.408880692840093</v>
      </c>
      <c r="G73" s="10">
        <f t="shared" si="9"/>
        <v>0</v>
      </c>
      <c r="H73" s="7">
        <f t="shared" si="15"/>
        <v>1.6044984858575526</v>
      </c>
      <c r="I73" s="16">
        <f t="shared" si="10"/>
        <v>51.999999999999993</v>
      </c>
      <c r="J73" s="9">
        <f t="shared" si="16"/>
        <v>0</v>
      </c>
      <c r="K73" s="9">
        <f t="shared" si="11"/>
        <v>0</v>
      </c>
    </row>
    <row r="74" spans="3:17" x14ac:dyDescent="0.25">
      <c r="C74" s="29"/>
      <c r="D74" s="1">
        <v>68</v>
      </c>
      <c r="E74" s="12">
        <v>46</v>
      </c>
      <c r="F74" s="7">
        <f t="shared" si="14"/>
        <v>73.379998163129173</v>
      </c>
      <c r="G74" s="10">
        <f t="shared" si="9"/>
        <v>0</v>
      </c>
      <c r="H74" s="7">
        <f t="shared" si="15"/>
        <v>0.62687382326909569</v>
      </c>
      <c r="I74" s="16">
        <f t="shared" si="10"/>
        <v>45.999999999999986</v>
      </c>
      <c r="J74" s="9">
        <f t="shared" si="16"/>
        <v>0</v>
      </c>
      <c r="K74" s="9">
        <f t="shared" si="11"/>
        <v>0</v>
      </c>
    </row>
    <row r="75" spans="3:17" x14ac:dyDescent="0.25">
      <c r="C75" s="29"/>
      <c r="D75" s="1">
        <v>69</v>
      </c>
      <c r="E75" s="12">
        <v>28</v>
      </c>
      <c r="F75" s="7">
        <f t="shared" si="14"/>
        <v>39.082826255185708</v>
      </c>
      <c r="G75" s="10">
        <f t="shared" si="9"/>
        <v>0</v>
      </c>
      <c r="H75" s="7">
        <f t="shared" si="15"/>
        <v>0.71642720557561568</v>
      </c>
      <c r="I75" s="16">
        <f t="shared" si="10"/>
        <v>28</v>
      </c>
      <c r="J75" s="9">
        <f t="shared" si="16"/>
        <v>0</v>
      </c>
      <c r="K75" s="9">
        <f t="shared" si="11"/>
        <v>0</v>
      </c>
    </row>
    <row r="76" spans="3:17" x14ac:dyDescent="0.25">
      <c r="C76" s="29"/>
      <c r="D76" s="1">
        <v>70</v>
      </c>
      <c r="E76" s="12">
        <v>72</v>
      </c>
      <c r="F76" s="7">
        <f t="shared" si="14"/>
        <v>75.374020128748143</v>
      </c>
      <c r="G76" s="10">
        <f t="shared" si="9"/>
        <v>0</v>
      </c>
      <c r="H76" s="7">
        <f t="shared" si="15"/>
        <v>0.95523629862139636</v>
      </c>
      <c r="I76" s="16">
        <f t="shared" si="10"/>
        <v>71.999999999999986</v>
      </c>
      <c r="J76" s="9">
        <f t="shared" si="16"/>
        <v>0</v>
      </c>
      <c r="K76" s="9">
        <f t="shared" si="11"/>
        <v>0</v>
      </c>
    </row>
    <row r="77" spans="3:17" x14ac:dyDescent="0.25">
      <c r="C77" s="29"/>
      <c r="D77" s="1">
        <v>71</v>
      </c>
      <c r="E77" s="12">
        <v>52</v>
      </c>
      <c r="F77" s="7">
        <f t="shared" si="14"/>
        <v>24.292700616190167</v>
      </c>
      <c r="G77" s="10">
        <f t="shared" si="9"/>
        <v>0</v>
      </c>
      <c r="H77" s="7">
        <f t="shared" si="15"/>
        <v>2.1405606902899863</v>
      </c>
      <c r="I77" s="16">
        <f t="shared" si="10"/>
        <v>52.000000000000014</v>
      </c>
      <c r="J77" s="9">
        <f t="shared" si="16"/>
        <v>0</v>
      </c>
      <c r="K77" s="9">
        <f t="shared" si="11"/>
        <v>0</v>
      </c>
    </row>
    <row r="78" spans="3:17" x14ac:dyDescent="0.25">
      <c r="C78" s="29"/>
      <c r="D78" s="1">
        <v>72</v>
      </c>
      <c r="E78" s="12">
        <v>38</v>
      </c>
      <c r="F78" s="7">
        <f t="shared" si="14"/>
        <v>50.771745317271254</v>
      </c>
      <c r="G78" s="10">
        <f t="shared" si="9"/>
        <v>0</v>
      </c>
      <c r="H78" s="7">
        <f t="shared" si="15"/>
        <v>0.748447778632368</v>
      </c>
      <c r="I78" s="16">
        <f t="shared" si="10"/>
        <v>37.999999999999993</v>
      </c>
      <c r="J78" s="9">
        <f t="shared" si="16"/>
        <v>0</v>
      </c>
      <c r="K78" s="9">
        <f t="shared" si="11"/>
        <v>0</v>
      </c>
    </row>
    <row r="79" spans="3:17" x14ac:dyDescent="0.25">
      <c r="C79" s="29"/>
      <c r="D79" s="1">
        <v>73</v>
      </c>
      <c r="E79" s="12">
        <v>80</v>
      </c>
      <c r="F79" s="7">
        <f t="shared" si="14"/>
        <v>96.295387817559913</v>
      </c>
      <c r="G79" s="10">
        <f t="shared" si="9"/>
        <v>0</v>
      </c>
      <c r="H79" s="7">
        <f t="shared" si="15"/>
        <v>0.83077706848812993</v>
      </c>
      <c r="I79" s="16">
        <f t="shared" si="10"/>
        <v>80</v>
      </c>
      <c r="J79" s="9">
        <f t="shared" si="16"/>
        <v>0</v>
      </c>
      <c r="K79" s="9">
        <f t="shared" si="11"/>
        <v>0</v>
      </c>
    </row>
    <row r="80" spans="3:17" x14ac:dyDescent="0.25">
      <c r="C80" s="29"/>
      <c r="D80" s="1">
        <v>74</v>
      </c>
      <c r="E80" s="12">
        <v>83</v>
      </c>
      <c r="F80" s="7">
        <f t="shared" si="14"/>
        <v>178.86481359512362</v>
      </c>
      <c r="G80" s="10">
        <f t="shared" si="9"/>
        <v>0</v>
      </c>
      <c r="H80" s="7">
        <f t="shared" si="15"/>
        <v>0.46403760656848847</v>
      </c>
      <c r="I80" s="16">
        <f t="shared" si="10"/>
        <v>82.999999999999986</v>
      </c>
      <c r="J80" s="9">
        <f t="shared" si="16"/>
        <v>0</v>
      </c>
      <c r="K80" s="9">
        <f t="shared" si="11"/>
        <v>0</v>
      </c>
    </row>
    <row r="81" spans="3:11" x14ac:dyDescent="0.25">
      <c r="C81" s="29"/>
      <c r="D81" s="1">
        <v>75</v>
      </c>
      <c r="E81" s="12">
        <v>67</v>
      </c>
      <c r="F81" s="7">
        <f t="shared" si="14"/>
        <v>74.598837543429426</v>
      </c>
      <c r="G81" s="10">
        <f t="shared" si="9"/>
        <v>0</v>
      </c>
      <c r="H81" s="7">
        <f t="shared" si="15"/>
        <v>0.89813731964649468</v>
      </c>
      <c r="I81" s="16">
        <f t="shared" si="10"/>
        <v>67</v>
      </c>
      <c r="J81" s="9">
        <f t="shared" si="16"/>
        <v>0</v>
      </c>
      <c r="K81" s="9">
        <f t="shared" si="11"/>
        <v>0</v>
      </c>
    </row>
    <row r="82" spans="3:11" x14ac:dyDescent="0.25">
      <c r="C82" s="29"/>
      <c r="D82" s="1">
        <v>76</v>
      </c>
      <c r="E82" s="12">
        <v>4</v>
      </c>
      <c r="F82" s="7">
        <f t="shared" si="14"/>
        <v>3.7482030474058816</v>
      </c>
      <c r="G82" s="10">
        <f t="shared" si="9"/>
        <v>0</v>
      </c>
      <c r="H82" s="7">
        <f t="shared" si="15"/>
        <v>1.0671780448949761</v>
      </c>
      <c r="I82" s="16">
        <f t="shared" si="10"/>
        <v>4.0000000000000089</v>
      </c>
      <c r="J82" s="9">
        <f t="shared" si="16"/>
        <v>-8.8817841970012523E-15</v>
      </c>
      <c r="K82" s="9">
        <f t="shared" si="11"/>
        <v>8.8817841970012523E-15</v>
      </c>
    </row>
    <row r="83" spans="3:11" x14ac:dyDescent="0.25">
      <c r="C83" s="29"/>
      <c r="D83" s="1">
        <v>77</v>
      </c>
      <c r="E83" s="12">
        <v>92</v>
      </c>
      <c r="F83" s="7">
        <f t="shared" si="14"/>
        <v>189.65906635469557</v>
      </c>
      <c r="G83" s="10">
        <f t="shared" si="9"/>
        <v>0</v>
      </c>
      <c r="H83" s="7">
        <f t="shared" si="15"/>
        <v>0.48508094956000647</v>
      </c>
      <c r="I83" s="16">
        <f t="shared" si="10"/>
        <v>91.999999999999986</v>
      </c>
      <c r="J83" s="9">
        <f t="shared" si="16"/>
        <v>0</v>
      </c>
      <c r="K83" s="9">
        <f t="shared" si="11"/>
        <v>0</v>
      </c>
    </row>
    <row r="84" spans="3:11" x14ac:dyDescent="0.25">
      <c r="C84" s="29"/>
      <c r="D84" s="1">
        <v>78</v>
      </c>
      <c r="E84" s="12">
        <v>123</v>
      </c>
      <c r="F84" s="7">
        <f t="shared" si="14"/>
        <v>145.85650963540084</v>
      </c>
      <c r="G84" s="10">
        <f t="shared" si="9"/>
        <v>0</v>
      </c>
      <c r="H84" s="7">
        <f t="shared" si="15"/>
        <v>0.84329455234781425</v>
      </c>
      <c r="I84" s="16">
        <f t="shared" si="10"/>
        <v>122.99999999999999</v>
      </c>
      <c r="J84" s="9">
        <f t="shared" si="16"/>
        <v>0</v>
      </c>
      <c r="K84" s="9">
        <f t="shared" si="11"/>
        <v>0</v>
      </c>
    </row>
    <row r="85" spans="3:11" x14ac:dyDescent="0.25">
      <c r="D85" s="1">
        <v>79</v>
      </c>
      <c r="E85" s="12">
        <v>85</v>
      </c>
      <c r="F85" s="7">
        <f t="shared" si="14"/>
        <v>111.66521382526791</v>
      </c>
      <c r="G85" s="10">
        <f t="shared" si="9"/>
        <v>0</v>
      </c>
      <c r="H85" s="7">
        <f t="shared" si="15"/>
        <v>0.76120393350973881</v>
      </c>
      <c r="I85" s="16">
        <f t="shared" si="10"/>
        <v>85</v>
      </c>
      <c r="J85" s="9">
        <f t="shared" si="16"/>
        <v>0</v>
      </c>
      <c r="K85" s="9">
        <f t="shared" si="11"/>
        <v>0</v>
      </c>
    </row>
    <row r="86" spans="3:11" x14ac:dyDescent="0.25">
      <c r="D86" s="1">
        <v>80</v>
      </c>
      <c r="E86" s="12">
        <v>34</v>
      </c>
      <c r="F86" s="7">
        <f t="shared" ref="F86:F94" si="17">$P$2*(E86/H71)+(1-$P$2)*(F85+G85)</f>
        <v>26.488026274939266</v>
      </c>
      <c r="G86" s="10">
        <f t="shared" si="9"/>
        <v>0</v>
      </c>
      <c r="H86" s="7">
        <f t="shared" ref="H86:H94" si="18">$P$4*(E86/F86)+(1-$P$4)*H71</f>
        <v>1.2835988475354214</v>
      </c>
      <c r="I86" s="16">
        <f t="shared" si="10"/>
        <v>34.000000000000007</v>
      </c>
      <c r="J86" s="9">
        <f t="shared" ref="J86:J94" si="19">E86-I86</f>
        <v>0</v>
      </c>
      <c r="K86" s="9">
        <f t="shared" si="11"/>
        <v>0</v>
      </c>
    </row>
    <row r="87" spans="3:11" x14ac:dyDescent="0.25">
      <c r="D87" s="1">
        <v>81</v>
      </c>
      <c r="E87" s="12">
        <v>40</v>
      </c>
      <c r="F87" s="7">
        <f t="shared" si="17"/>
        <v>25.402512411259917</v>
      </c>
      <c r="G87" s="10">
        <f t="shared" ref="G87:G110" si="20">$P$3*(F87-F86)+(1-$P$3)*G86</f>
        <v>0</v>
      </c>
      <c r="H87" s="7">
        <f t="shared" si="18"/>
        <v>1.5746473952029092</v>
      </c>
      <c r="I87" s="16">
        <f t="shared" ref="I87:I110" si="21">(F87+(G87))*H72</f>
        <v>40</v>
      </c>
      <c r="J87" s="9">
        <f t="shared" si="19"/>
        <v>0</v>
      </c>
      <c r="K87" s="9">
        <f t="shared" si="11"/>
        <v>0</v>
      </c>
    </row>
    <row r="88" spans="3:11" x14ac:dyDescent="0.25">
      <c r="D88" s="1">
        <v>82</v>
      </c>
      <c r="E88" s="12">
        <v>51</v>
      </c>
      <c r="F88" s="7">
        <f t="shared" si="17"/>
        <v>31.785632987208555</v>
      </c>
      <c r="G88" s="10">
        <f t="shared" si="20"/>
        <v>0</v>
      </c>
      <c r="H88" s="7">
        <f t="shared" si="18"/>
        <v>1.6044984858575526</v>
      </c>
      <c r="I88" s="16">
        <f t="shared" si="21"/>
        <v>51</v>
      </c>
      <c r="J88" s="9">
        <f t="shared" si="19"/>
        <v>0</v>
      </c>
      <c r="K88" s="9">
        <f t="shared" si="11"/>
        <v>0</v>
      </c>
    </row>
    <row r="89" spans="3:11" x14ac:dyDescent="0.25">
      <c r="D89" s="1">
        <v>83</v>
      </c>
      <c r="E89" s="12">
        <v>115</v>
      </c>
      <c r="F89" s="7">
        <f t="shared" si="17"/>
        <v>183.44999540782288</v>
      </c>
      <c r="G89" s="10">
        <f t="shared" si="20"/>
        <v>0</v>
      </c>
      <c r="H89" s="7">
        <f t="shared" si="18"/>
        <v>0.6268738232690958</v>
      </c>
      <c r="I89" s="16">
        <f t="shared" si="21"/>
        <v>114.99999999999997</v>
      </c>
      <c r="J89" s="9">
        <f t="shared" si="19"/>
        <v>0</v>
      </c>
      <c r="K89" s="9">
        <f t="shared" ref="K89:K110" si="22">ABS(J89)</f>
        <v>0</v>
      </c>
    </row>
    <row r="90" spans="3:11" x14ac:dyDescent="0.25">
      <c r="D90" s="1">
        <v>84</v>
      </c>
      <c r="E90" s="12">
        <v>42</v>
      </c>
      <c r="F90" s="7">
        <f t="shared" si="17"/>
        <v>58.624239382778576</v>
      </c>
      <c r="G90" s="10">
        <f t="shared" si="20"/>
        <v>0</v>
      </c>
      <c r="H90" s="7">
        <f t="shared" si="18"/>
        <v>0.71642720557561546</v>
      </c>
      <c r="I90" s="16">
        <f t="shared" si="21"/>
        <v>42.000000000000014</v>
      </c>
      <c r="J90" s="9">
        <f t="shared" si="19"/>
        <v>0</v>
      </c>
      <c r="K90" s="9">
        <f t="shared" si="22"/>
        <v>0</v>
      </c>
    </row>
    <row r="91" spans="3:11" x14ac:dyDescent="0.25">
      <c r="D91" s="1">
        <v>85</v>
      </c>
      <c r="E91" s="12">
        <v>43</v>
      </c>
      <c r="F91" s="7">
        <f t="shared" si="17"/>
        <v>45.015039799113474</v>
      </c>
      <c r="G91" s="10">
        <f t="shared" si="20"/>
        <v>0</v>
      </c>
      <c r="H91" s="7">
        <f t="shared" si="18"/>
        <v>0.95523629862139636</v>
      </c>
      <c r="I91" s="16">
        <f t="shared" si="21"/>
        <v>43</v>
      </c>
      <c r="J91" s="9">
        <f t="shared" si="19"/>
        <v>0</v>
      </c>
      <c r="K91" s="9">
        <f t="shared" si="22"/>
        <v>0</v>
      </c>
    </row>
    <row r="92" spans="3:11" x14ac:dyDescent="0.25">
      <c r="D92" s="1">
        <v>86</v>
      </c>
      <c r="E92" s="12">
        <v>25</v>
      </c>
      <c r="F92" s="7">
        <f t="shared" si="17"/>
        <v>11.679182988552968</v>
      </c>
      <c r="G92" s="10">
        <f t="shared" si="20"/>
        <v>0</v>
      </c>
      <c r="H92" s="7">
        <f t="shared" si="18"/>
        <v>2.1405606902899859</v>
      </c>
      <c r="I92" s="16">
        <f t="shared" si="21"/>
        <v>25.000000000000007</v>
      </c>
      <c r="J92" s="9">
        <f t="shared" si="19"/>
        <v>0</v>
      </c>
      <c r="K92" s="9">
        <f t="shared" si="22"/>
        <v>0</v>
      </c>
    </row>
    <row r="93" spans="3:11" x14ac:dyDescent="0.25">
      <c r="D93" s="1">
        <v>87</v>
      </c>
      <c r="E93" s="12">
        <v>48</v>
      </c>
      <c r="F93" s="7">
        <f t="shared" si="17"/>
        <v>64.132730927079464</v>
      </c>
      <c r="G93" s="10">
        <f t="shared" si="20"/>
        <v>0</v>
      </c>
      <c r="H93" s="7">
        <f t="shared" si="18"/>
        <v>0.74844777863236811</v>
      </c>
      <c r="I93" s="16">
        <f t="shared" si="21"/>
        <v>47.999999999999993</v>
      </c>
      <c r="J93" s="9">
        <f t="shared" si="19"/>
        <v>0</v>
      </c>
      <c r="K93" s="9">
        <f t="shared" si="22"/>
        <v>0</v>
      </c>
    </row>
    <row r="94" spans="3:11" x14ac:dyDescent="0.25">
      <c r="D94" s="1">
        <v>88</v>
      </c>
      <c r="E94" s="12">
        <v>23</v>
      </c>
      <c r="F94" s="7">
        <f t="shared" si="17"/>
        <v>27.684923997548477</v>
      </c>
      <c r="G94" s="10">
        <f t="shared" si="20"/>
        <v>0</v>
      </c>
      <c r="H94" s="7">
        <f t="shared" si="18"/>
        <v>0.83077706848812982</v>
      </c>
      <c r="I94" s="16">
        <f t="shared" si="21"/>
        <v>23.000000000000004</v>
      </c>
      <c r="J94" s="9">
        <f t="shared" si="19"/>
        <v>0</v>
      </c>
      <c r="K94" s="9">
        <f t="shared" si="22"/>
        <v>0</v>
      </c>
    </row>
    <row r="95" spans="3:11" x14ac:dyDescent="0.25">
      <c r="D95" s="1">
        <v>89</v>
      </c>
      <c r="E95" s="12">
        <v>33</v>
      </c>
      <c r="F95" s="7">
        <f t="shared" ref="F95:F110" si="23">$P$2*(E95/H80)+(1-$P$2)*(F94+G94)</f>
        <v>71.114925887217808</v>
      </c>
      <c r="G95" s="10">
        <f t="shared" si="20"/>
        <v>0</v>
      </c>
      <c r="H95" s="7">
        <f t="shared" ref="H95:H110" si="24">$P$4*(E95/F95)+(1-$P$4)*H80</f>
        <v>0.46403760656848858</v>
      </c>
      <c r="I95" s="16">
        <f t="shared" si="21"/>
        <v>32.999999999999993</v>
      </c>
      <c r="J95" s="9">
        <f t="shared" ref="J95:J110" si="25">E95-I95</f>
        <v>0</v>
      </c>
      <c r="K95" s="9">
        <f t="shared" si="22"/>
        <v>0</v>
      </c>
    </row>
    <row r="96" spans="3:11" x14ac:dyDescent="0.25">
      <c r="D96" s="1">
        <v>90</v>
      </c>
      <c r="E96" s="12">
        <v>124</v>
      </c>
      <c r="F96" s="7">
        <f t="shared" si="23"/>
        <v>138.06352022963054</v>
      </c>
      <c r="G96" s="10">
        <f t="shared" si="20"/>
        <v>0</v>
      </c>
      <c r="H96" s="7">
        <f t="shared" si="24"/>
        <v>0.8981373196464949</v>
      </c>
      <c r="I96" s="16">
        <f t="shared" si="21"/>
        <v>123.99999999999997</v>
      </c>
      <c r="J96" s="9">
        <f t="shared" si="25"/>
        <v>0</v>
      </c>
      <c r="K96" s="9">
        <f t="shared" si="22"/>
        <v>0</v>
      </c>
    </row>
    <row r="97" spans="4:11" x14ac:dyDescent="0.25">
      <c r="D97" s="1">
        <v>91</v>
      </c>
      <c r="E97" s="12">
        <v>39</v>
      </c>
      <c r="F97" s="7">
        <f t="shared" si="23"/>
        <v>36.544979712207351</v>
      </c>
      <c r="G97" s="10">
        <f t="shared" si="20"/>
        <v>0</v>
      </c>
      <c r="H97" s="7">
        <f t="shared" si="24"/>
        <v>1.0671780448949759</v>
      </c>
      <c r="I97" s="16">
        <f t="shared" si="21"/>
        <v>39.000000000000007</v>
      </c>
      <c r="J97" s="9">
        <f t="shared" si="25"/>
        <v>0</v>
      </c>
      <c r="K97" s="9">
        <f t="shared" si="22"/>
        <v>0</v>
      </c>
    </row>
    <row r="98" spans="4:11" x14ac:dyDescent="0.25">
      <c r="D98" s="1">
        <v>92</v>
      </c>
      <c r="E98" s="12">
        <v>42</v>
      </c>
      <c r="F98" s="7">
        <f t="shared" si="23"/>
        <v>86.583486814100141</v>
      </c>
      <c r="G98" s="10">
        <f t="shared" si="20"/>
        <v>0</v>
      </c>
      <c r="H98" s="7">
        <f t="shared" si="24"/>
        <v>0.48508094956000652</v>
      </c>
      <c r="I98" s="16">
        <f t="shared" si="21"/>
        <v>41.999999999999993</v>
      </c>
      <c r="J98" s="9">
        <f t="shared" si="25"/>
        <v>0</v>
      </c>
      <c r="K98" s="9">
        <f t="shared" si="22"/>
        <v>0</v>
      </c>
    </row>
    <row r="99" spans="4:11" x14ac:dyDescent="0.25">
      <c r="D99" s="1">
        <v>93</v>
      </c>
      <c r="E99" s="12">
        <v>52</v>
      </c>
      <c r="F99" s="7">
        <f t="shared" si="23"/>
        <v>61.662914642608484</v>
      </c>
      <c r="G99" s="10">
        <f t="shared" si="20"/>
        <v>0</v>
      </c>
      <c r="H99" s="7">
        <f t="shared" si="24"/>
        <v>0.84329455234781425</v>
      </c>
      <c r="I99" s="16">
        <f t="shared" si="21"/>
        <v>52</v>
      </c>
      <c r="J99" s="9">
        <f t="shared" si="25"/>
        <v>0</v>
      </c>
      <c r="K99" s="9">
        <f t="shared" si="22"/>
        <v>0</v>
      </c>
    </row>
    <row r="100" spans="4:11" x14ac:dyDescent="0.25">
      <c r="D100" s="1">
        <v>94</v>
      </c>
      <c r="E100" s="12">
        <v>46</v>
      </c>
      <c r="F100" s="7">
        <f t="shared" si="23"/>
        <v>60.430586305439107</v>
      </c>
      <c r="G100" s="10">
        <f t="shared" si="20"/>
        <v>0</v>
      </c>
      <c r="H100" s="7">
        <f t="shared" si="24"/>
        <v>0.76120393350973881</v>
      </c>
      <c r="I100" s="16">
        <f t="shared" si="21"/>
        <v>46</v>
      </c>
      <c r="J100" s="9">
        <f t="shared" si="25"/>
        <v>0</v>
      </c>
      <c r="K100" s="9">
        <f t="shared" si="22"/>
        <v>0</v>
      </c>
    </row>
    <row r="101" spans="4:11" x14ac:dyDescent="0.25">
      <c r="D101" s="1">
        <v>95</v>
      </c>
      <c r="E101" s="12">
        <v>28</v>
      </c>
      <c r="F101" s="7">
        <f t="shared" si="23"/>
        <v>21.813668697008808</v>
      </c>
      <c r="G101" s="10">
        <f t="shared" si="20"/>
        <v>0</v>
      </c>
      <c r="H101" s="7">
        <f t="shared" si="24"/>
        <v>1.2835988475354212</v>
      </c>
      <c r="I101" s="16">
        <f t="shared" si="21"/>
        <v>28.000000000000004</v>
      </c>
      <c r="J101" s="9">
        <f t="shared" si="25"/>
        <v>0</v>
      </c>
      <c r="K101" s="9">
        <f t="shared" si="22"/>
        <v>0</v>
      </c>
    </row>
    <row r="102" spans="4:11" x14ac:dyDescent="0.25">
      <c r="D102" s="1">
        <v>96</v>
      </c>
      <c r="E102" s="12">
        <v>72</v>
      </c>
      <c r="F102" s="7">
        <f t="shared" si="23"/>
        <v>45.724522340267846</v>
      </c>
      <c r="G102" s="10">
        <f t="shared" si="20"/>
        <v>0</v>
      </c>
      <c r="H102" s="7">
        <f t="shared" si="24"/>
        <v>1.5746473952029094</v>
      </c>
      <c r="I102" s="16">
        <f t="shared" si="21"/>
        <v>72</v>
      </c>
      <c r="J102" s="9">
        <f t="shared" si="25"/>
        <v>0</v>
      </c>
      <c r="K102" s="9">
        <f t="shared" si="22"/>
        <v>0</v>
      </c>
    </row>
    <row r="103" spans="4:11" x14ac:dyDescent="0.25">
      <c r="D103" s="1">
        <v>97</v>
      </c>
      <c r="E103" s="12">
        <v>52</v>
      </c>
      <c r="F103" s="7">
        <f t="shared" si="23"/>
        <v>32.408880692840093</v>
      </c>
      <c r="G103" s="10">
        <f t="shared" si="20"/>
        <v>0</v>
      </c>
      <c r="H103" s="7">
        <f t="shared" si="24"/>
        <v>1.6044984858575526</v>
      </c>
      <c r="I103" s="16">
        <f t="shared" si="21"/>
        <v>52</v>
      </c>
      <c r="J103" s="9">
        <f t="shared" si="25"/>
        <v>0</v>
      </c>
      <c r="K103" s="9">
        <f t="shared" si="22"/>
        <v>0</v>
      </c>
    </row>
    <row r="104" spans="4:11" x14ac:dyDescent="0.25">
      <c r="D104" s="1">
        <v>98</v>
      </c>
      <c r="E104" s="12">
        <v>38</v>
      </c>
      <c r="F104" s="7">
        <f t="shared" si="23"/>
        <v>60.618259352150169</v>
      </c>
      <c r="G104" s="10">
        <f t="shared" si="20"/>
        <v>0</v>
      </c>
      <c r="H104" s="7">
        <f t="shared" si="24"/>
        <v>0.6268738232690958</v>
      </c>
      <c r="I104" s="16">
        <f t="shared" si="21"/>
        <v>38</v>
      </c>
      <c r="J104" s="9">
        <f t="shared" si="25"/>
        <v>0</v>
      </c>
      <c r="K104" s="9">
        <f t="shared" si="22"/>
        <v>0</v>
      </c>
    </row>
    <row r="105" spans="4:11" x14ac:dyDescent="0.25">
      <c r="D105" s="1">
        <v>99</v>
      </c>
      <c r="E105" s="12">
        <v>80</v>
      </c>
      <c r="F105" s="7">
        <f t="shared" si="23"/>
        <v>111.66521787195919</v>
      </c>
      <c r="G105" s="10">
        <f t="shared" si="20"/>
        <v>0</v>
      </c>
      <c r="H105" s="7">
        <f t="shared" si="24"/>
        <v>0.71642720557561557</v>
      </c>
      <c r="I105" s="16">
        <f t="shared" si="21"/>
        <v>79.999999999999986</v>
      </c>
      <c r="J105" s="9">
        <f t="shared" si="25"/>
        <v>0</v>
      </c>
      <c r="K105" s="9">
        <f t="shared" si="22"/>
        <v>0</v>
      </c>
    </row>
    <row r="106" spans="4:11" x14ac:dyDescent="0.25">
      <c r="D106" s="1">
        <v>100</v>
      </c>
      <c r="E106" s="12">
        <v>83</v>
      </c>
      <c r="F106" s="7">
        <f t="shared" si="23"/>
        <v>86.889495426195779</v>
      </c>
      <c r="G106" s="10">
        <f t="shared" si="20"/>
        <v>0</v>
      </c>
      <c r="H106" s="7">
        <f t="shared" si="24"/>
        <v>0.95523629862139636</v>
      </c>
      <c r="I106" s="16">
        <f t="shared" si="21"/>
        <v>83</v>
      </c>
      <c r="J106" s="9">
        <f t="shared" si="25"/>
        <v>0</v>
      </c>
      <c r="K106" s="9">
        <f t="shared" si="22"/>
        <v>0</v>
      </c>
    </row>
    <row r="107" spans="4:11" x14ac:dyDescent="0.25">
      <c r="D107" s="1">
        <v>101</v>
      </c>
      <c r="E107" s="12">
        <v>67</v>
      </c>
      <c r="F107" s="7">
        <f t="shared" si="23"/>
        <v>31.300210409321959</v>
      </c>
      <c r="G107" s="10">
        <f t="shared" si="20"/>
        <v>0</v>
      </c>
      <c r="H107" s="7">
        <f t="shared" si="24"/>
        <v>2.1405606902899854</v>
      </c>
      <c r="I107" s="16">
        <f t="shared" si="21"/>
        <v>67.000000000000014</v>
      </c>
      <c r="J107" s="9">
        <f t="shared" si="25"/>
        <v>0</v>
      </c>
      <c r="K107" s="9">
        <f t="shared" si="22"/>
        <v>0</v>
      </c>
    </row>
    <row r="108" spans="4:11" x14ac:dyDescent="0.25">
      <c r="D108" s="1">
        <v>102</v>
      </c>
      <c r="E108" s="12">
        <v>4</v>
      </c>
      <c r="F108" s="7">
        <f t="shared" si="23"/>
        <v>5.3443942439232917</v>
      </c>
      <c r="G108" s="10">
        <f t="shared" si="20"/>
        <v>0</v>
      </c>
      <c r="H108" s="7">
        <f t="shared" si="24"/>
        <v>0.74844777863236767</v>
      </c>
      <c r="I108" s="16">
        <f t="shared" si="21"/>
        <v>4.0000000000000018</v>
      </c>
      <c r="J108" s="9">
        <f t="shared" si="25"/>
        <v>0</v>
      </c>
      <c r="K108" s="9">
        <f t="shared" si="22"/>
        <v>0</v>
      </c>
    </row>
    <row r="109" spans="4:11" x14ac:dyDescent="0.25">
      <c r="D109" s="1">
        <v>103</v>
      </c>
      <c r="E109" s="12">
        <v>92</v>
      </c>
      <c r="F109" s="7">
        <f t="shared" si="23"/>
        <v>110.73969599019389</v>
      </c>
      <c r="G109" s="10">
        <f t="shared" si="20"/>
        <v>0</v>
      </c>
      <c r="H109" s="7">
        <f t="shared" si="24"/>
        <v>0.83077706848812993</v>
      </c>
      <c r="I109" s="16">
        <f t="shared" si="21"/>
        <v>91.999999999999986</v>
      </c>
      <c r="J109" s="9">
        <f t="shared" si="25"/>
        <v>0</v>
      </c>
      <c r="K109" s="9">
        <f t="shared" si="22"/>
        <v>0</v>
      </c>
    </row>
    <row r="110" spans="4:11" x14ac:dyDescent="0.25">
      <c r="D110" s="1">
        <v>104</v>
      </c>
      <c r="E110" s="12">
        <v>123</v>
      </c>
      <c r="F110" s="7">
        <f t="shared" si="23"/>
        <v>265.06472376144814</v>
      </c>
      <c r="G110" s="10">
        <f t="shared" si="20"/>
        <v>0</v>
      </c>
      <c r="H110" s="7">
        <f t="shared" si="24"/>
        <v>0.46403760656848869</v>
      </c>
      <c r="I110" s="16">
        <f t="shared" si="21"/>
        <v>122.99999999999997</v>
      </c>
      <c r="J110" s="9">
        <f t="shared" si="25"/>
        <v>0</v>
      </c>
      <c r="K110" s="9">
        <f t="shared" si="22"/>
        <v>0</v>
      </c>
    </row>
  </sheetData>
  <mergeCells count="3">
    <mergeCell ref="C7:C32"/>
    <mergeCell ref="C33:C58"/>
    <mergeCell ref="C59:C84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110"/>
  <sheetViews>
    <sheetView zoomScale="70" zoomScaleNormal="70" workbookViewId="0">
      <selection activeCell="R74" sqref="R74"/>
    </sheetView>
  </sheetViews>
  <sheetFormatPr defaultRowHeight="15" x14ac:dyDescent="0.25"/>
  <cols>
    <col min="1" max="8" width="9.140625" style="1"/>
    <col min="9" max="9" width="9.140625" style="16"/>
    <col min="10" max="16384" width="9.140625" style="1"/>
  </cols>
  <sheetData>
    <row r="2" spans="3:22" x14ac:dyDescent="0.25">
      <c r="O2" s="8" t="s">
        <v>8</v>
      </c>
      <c r="P2" s="8">
        <v>0.99999999999999989</v>
      </c>
      <c r="U2" s="13" t="s">
        <v>17</v>
      </c>
      <c r="V2" s="13">
        <v>4.3118678497574899E-2</v>
      </c>
    </row>
    <row r="3" spans="3:22" x14ac:dyDescent="0.25">
      <c r="O3" s="8" t="s">
        <v>9</v>
      </c>
      <c r="P3" s="8">
        <v>2.6001140490344026E-3</v>
      </c>
      <c r="Q3" s="1" t="s">
        <v>11</v>
      </c>
      <c r="R3" s="1">
        <f>SUM(K21:K84)</f>
        <v>2.6875999380314197</v>
      </c>
      <c r="U3" s="13" t="s">
        <v>18</v>
      </c>
      <c r="V3" s="13">
        <v>17.741246779892698</v>
      </c>
    </row>
    <row r="4" spans="3:22" x14ac:dyDescent="0.25">
      <c r="O4" s="8" t="s">
        <v>10</v>
      </c>
      <c r="P4" s="8">
        <v>1</v>
      </c>
      <c r="U4" s="1" t="s">
        <v>20</v>
      </c>
      <c r="V4" s="1">
        <f>SUM(Q7:Q70)</f>
        <v>10023.195622896594</v>
      </c>
    </row>
    <row r="5" spans="3:22" x14ac:dyDescent="0.25">
      <c r="V5" s="1">
        <f>COUNT($P$2:$P$4)</f>
        <v>3</v>
      </c>
    </row>
    <row r="6" spans="3:22" x14ac:dyDescent="0.25">
      <c r="D6" s="1" t="s">
        <v>7</v>
      </c>
      <c r="E6" s="2" t="s">
        <v>0</v>
      </c>
      <c r="F6" s="1" t="s">
        <v>1</v>
      </c>
      <c r="G6" s="1" t="s">
        <v>4</v>
      </c>
      <c r="H6" s="1" t="s">
        <v>2</v>
      </c>
      <c r="I6" s="16" t="s">
        <v>3</v>
      </c>
      <c r="J6" s="1" t="s">
        <v>5</v>
      </c>
      <c r="K6" s="1" t="s">
        <v>6</v>
      </c>
      <c r="L6" s="1" t="s">
        <v>15</v>
      </c>
      <c r="O6" s="8" t="s">
        <v>16</v>
      </c>
      <c r="P6" s="1" t="s">
        <v>19</v>
      </c>
      <c r="Q6" s="1" t="s">
        <v>11</v>
      </c>
    </row>
    <row r="7" spans="3:22" x14ac:dyDescent="0.25">
      <c r="C7" s="27" t="s">
        <v>21</v>
      </c>
      <c r="D7" s="1">
        <v>1</v>
      </c>
      <c r="E7" s="20">
        <v>19.011627000000001</v>
      </c>
      <c r="F7" s="3"/>
      <c r="G7" s="3"/>
      <c r="H7" s="3">
        <f t="shared" ref="H7:H21" si="0">E7/$A$44</f>
        <v>1.0943774714756389</v>
      </c>
      <c r="J7" s="3"/>
      <c r="K7" s="3"/>
      <c r="L7" s="3"/>
      <c r="M7" s="14">
        <f t="shared" ref="M7:M38" si="1">AVERAGE(E7:E21)</f>
        <v>17.372092806666664</v>
      </c>
      <c r="N7" s="14"/>
      <c r="O7" s="1">
        <f>$V$2*D7+$V$3</f>
        <v>17.784365458390273</v>
      </c>
      <c r="P7" s="1">
        <f t="shared" ref="P7:P39" si="2">E7-O7</f>
        <v>1.2272615416097281</v>
      </c>
      <c r="Q7" s="1">
        <f>P7*P7</f>
        <v>1.5061708915142864</v>
      </c>
    </row>
    <row r="8" spans="3:22" x14ac:dyDescent="0.25">
      <c r="C8" s="27"/>
      <c r="D8" s="1">
        <v>2</v>
      </c>
      <c r="E8" s="20">
        <v>35.232559999999999</v>
      </c>
      <c r="F8" s="3"/>
      <c r="G8" s="3"/>
      <c r="H8" s="3">
        <f t="shared" si="0"/>
        <v>2.0281125821800385</v>
      </c>
      <c r="J8" s="3"/>
      <c r="K8" s="3"/>
      <c r="L8" s="3"/>
      <c r="M8" s="14">
        <f t="shared" si="1"/>
        <v>16.151162633333335</v>
      </c>
      <c r="N8" s="14"/>
      <c r="O8" s="1">
        <f t="shared" ref="O8:O70" si="3">$V$2*D8+$V$3</f>
        <v>17.827484136887847</v>
      </c>
      <c r="P8" s="1">
        <f t="shared" si="2"/>
        <v>17.405075863112152</v>
      </c>
      <c r="Q8" s="1">
        <f t="shared" ref="Q8:Q70" si="4">P8*P8</f>
        <v>302.93666580068924</v>
      </c>
    </row>
    <row r="9" spans="3:22" x14ac:dyDescent="0.25">
      <c r="C9" s="27"/>
      <c r="D9" s="1">
        <v>3</v>
      </c>
      <c r="E9" s="20">
        <v>29.476744</v>
      </c>
      <c r="F9" s="3"/>
      <c r="G9" s="3"/>
      <c r="H9" s="3">
        <f t="shared" si="0"/>
        <v>1.6967871590398187</v>
      </c>
      <c r="J9" s="3"/>
      <c r="K9" s="3"/>
      <c r="L9" s="3"/>
      <c r="M9" s="14">
        <f t="shared" si="1"/>
        <v>16.162790633333337</v>
      </c>
      <c r="N9" s="14"/>
      <c r="O9" s="1">
        <f t="shared" si="3"/>
        <v>17.870602815385421</v>
      </c>
      <c r="P9" s="1">
        <f t="shared" si="2"/>
        <v>11.606141184614579</v>
      </c>
      <c r="Q9" s="1">
        <f t="shared" si="4"/>
        <v>134.70251319720668</v>
      </c>
    </row>
    <row r="10" spans="3:22" x14ac:dyDescent="0.25">
      <c r="C10" s="27"/>
      <c r="D10" s="1">
        <v>4</v>
      </c>
      <c r="E10" s="20">
        <v>6.8023256999999999</v>
      </c>
      <c r="F10" s="3"/>
      <c r="G10" s="3"/>
      <c r="H10" s="3">
        <f t="shared" si="0"/>
        <v>0.39156627676946087</v>
      </c>
      <c r="J10" s="3"/>
      <c r="K10" s="3"/>
      <c r="L10" s="3"/>
      <c r="M10" s="14">
        <f t="shared" si="1"/>
        <v>15.569767433333336</v>
      </c>
      <c r="N10" s="14"/>
      <c r="O10" s="1">
        <f t="shared" si="3"/>
        <v>17.913721493882999</v>
      </c>
      <c r="P10" s="1">
        <f t="shared" si="2"/>
        <v>-11.111395793882998</v>
      </c>
      <c r="Q10" s="1">
        <f t="shared" si="4"/>
        <v>123.46311648832079</v>
      </c>
    </row>
    <row r="11" spans="3:22" x14ac:dyDescent="0.25">
      <c r="C11" s="27"/>
      <c r="D11" s="1">
        <v>5</v>
      </c>
      <c r="E11" s="20">
        <v>10.639535</v>
      </c>
      <c r="F11" s="3"/>
      <c r="G11" s="3"/>
      <c r="H11" s="3">
        <f t="shared" si="0"/>
        <v>0.61244981352603656</v>
      </c>
      <c r="J11" s="3"/>
      <c r="K11" s="3"/>
      <c r="L11" s="3"/>
      <c r="M11" s="14">
        <f t="shared" si="1"/>
        <v>16.558139520000001</v>
      </c>
      <c r="N11" s="14"/>
      <c r="O11" s="1">
        <f t="shared" si="3"/>
        <v>17.956840172380574</v>
      </c>
      <c r="P11" s="1">
        <f t="shared" si="2"/>
        <v>-7.3173051723805731</v>
      </c>
      <c r="Q11" s="1">
        <f t="shared" si="4"/>
        <v>53.542954985747485</v>
      </c>
    </row>
    <row r="12" spans="3:22" x14ac:dyDescent="0.25">
      <c r="C12" s="27"/>
      <c r="D12" s="1">
        <v>6</v>
      </c>
      <c r="E12" s="20">
        <v>11.162789999999999</v>
      </c>
      <c r="F12" s="3"/>
      <c r="G12" s="3"/>
      <c r="H12" s="3">
        <f t="shared" si="0"/>
        <v>0.64257024897519543</v>
      </c>
      <c r="J12" s="3"/>
      <c r="K12" s="3"/>
      <c r="L12" s="3"/>
      <c r="M12" s="14">
        <f t="shared" si="1"/>
        <v>18.59302332</v>
      </c>
      <c r="N12" s="14"/>
      <c r="O12" s="1">
        <f t="shared" si="3"/>
        <v>17.999958850878148</v>
      </c>
      <c r="P12" s="1">
        <f t="shared" si="2"/>
        <v>-6.8371688508781485</v>
      </c>
      <c r="Q12" s="1">
        <f t="shared" si="4"/>
        <v>46.746877895418422</v>
      </c>
    </row>
    <row r="13" spans="3:22" x14ac:dyDescent="0.25">
      <c r="C13" s="27"/>
      <c r="D13" s="1">
        <v>7</v>
      </c>
      <c r="E13" s="20">
        <v>16.220929999999999</v>
      </c>
      <c r="F13" s="3"/>
      <c r="G13" s="3"/>
      <c r="H13" s="3">
        <f t="shared" si="0"/>
        <v>0.93373493801363427</v>
      </c>
      <c r="J13" s="3"/>
      <c r="K13" s="3"/>
      <c r="L13" s="3"/>
      <c r="M13" s="14">
        <f t="shared" si="1"/>
        <v>18.150038886666671</v>
      </c>
      <c r="N13" s="14"/>
      <c r="O13" s="1">
        <f t="shared" si="3"/>
        <v>18.043077529375722</v>
      </c>
      <c r="P13" s="1">
        <f t="shared" si="2"/>
        <v>-1.822147529375723</v>
      </c>
      <c r="Q13" s="1">
        <f t="shared" si="4"/>
        <v>3.3202216188100513</v>
      </c>
    </row>
    <row r="14" spans="3:22" x14ac:dyDescent="0.25">
      <c r="C14" s="27"/>
      <c r="D14" s="1">
        <v>8</v>
      </c>
      <c r="E14" s="20">
        <v>17.790697000000002</v>
      </c>
      <c r="F14" s="3"/>
      <c r="G14" s="3"/>
      <c r="H14" s="3">
        <f t="shared" si="0"/>
        <v>1.0240963594882877</v>
      </c>
      <c r="J14" s="3"/>
      <c r="K14" s="3"/>
      <c r="L14" s="3"/>
      <c r="M14" s="14">
        <f t="shared" si="1"/>
        <v>18.682635886666667</v>
      </c>
      <c r="N14" s="14"/>
      <c r="O14" s="1">
        <f t="shared" si="3"/>
        <v>18.086196207873297</v>
      </c>
      <c r="P14" s="1">
        <f t="shared" si="2"/>
        <v>-0.29549920787329498</v>
      </c>
      <c r="Q14" s="1">
        <f t="shared" si="4"/>
        <v>8.7319781853744796E-2</v>
      </c>
    </row>
    <row r="15" spans="3:22" x14ac:dyDescent="0.25">
      <c r="C15" s="27"/>
      <c r="D15" s="1">
        <v>9</v>
      </c>
      <c r="E15" s="20">
        <v>33.837207999999997</v>
      </c>
      <c r="F15" s="3"/>
      <c r="G15" s="3"/>
      <c r="H15" s="3">
        <f t="shared" si="0"/>
        <v>1.9477911139764765</v>
      </c>
      <c r="J15" s="3"/>
      <c r="K15" s="3"/>
      <c r="L15" s="3"/>
      <c r="M15" s="14">
        <f t="shared" si="1"/>
        <v>18.016434399999998</v>
      </c>
      <c r="N15" s="14"/>
      <c r="O15" s="1">
        <f t="shared" si="3"/>
        <v>18.129314886370871</v>
      </c>
      <c r="P15" s="1">
        <f t="shared" si="2"/>
        <v>15.707893113629126</v>
      </c>
      <c r="Q15" s="1">
        <f t="shared" si="4"/>
        <v>246.73790606919732</v>
      </c>
    </row>
    <row r="16" spans="3:22" x14ac:dyDescent="0.25">
      <c r="C16" s="27"/>
      <c r="D16" s="1">
        <v>10</v>
      </c>
      <c r="E16" s="20">
        <v>6.8023256999999999</v>
      </c>
      <c r="F16" s="3"/>
      <c r="G16" s="3"/>
      <c r="H16" s="3">
        <f t="shared" si="0"/>
        <v>0.39156627676946087</v>
      </c>
      <c r="J16" s="3"/>
      <c r="K16" s="3"/>
      <c r="L16" s="3"/>
      <c r="M16" s="14">
        <f t="shared" si="1"/>
        <v>16.639767799999998</v>
      </c>
      <c r="N16" s="14"/>
      <c r="O16" s="1">
        <f t="shared" si="3"/>
        <v>18.172433564868449</v>
      </c>
      <c r="P16" s="1">
        <f t="shared" si="2"/>
        <v>-11.370107864868448</v>
      </c>
      <c r="Q16" s="1">
        <f t="shared" si="4"/>
        <v>129.27935285874332</v>
      </c>
    </row>
    <row r="17" spans="3:17" x14ac:dyDescent="0.25">
      <c r="C17" s="27"/>
      <c r="D17" s="1">
        <v>11</v>
      </c>
      <c r="E17" s="20">
        <v>24.244185999999999</v>
      </c>
      <c r="F17" s="3"/>
      <c r="G17" s="3"/>
      <c r="H17" s="3">
        <f t="shared" si="0"/>
        <v>1.395582344039523</v>
      </c>
      <c r="J17" s="3"/>
      <c r="K17" s="3"/>
      <c r="L17" s="3"/>
      <c r="M17" s="14">
        <f t="shared" si="1"/>
        <v>17.320039086666668</v>
      </c>
      <c r="N17" s="14"/>
      <c r="O17" s="1">
        <f t="shared" si="3"/>
        <v>18.215552243366023</v>
      </c>
      <c r="P17" s="1">
        <f t="shared" si="2"/>
        <v>6.028633756633976</v>
      </c>
      <c r="Q17" s="1">
        <f t="shared" si="4"/>
        <v>36.344424971626687</v>
      </c>
    </row>
    <row r="18" spans="3:17" x14ac:dyDescent="0.25">
      <c r="C18" s="27"/>
      <c r="D18" s="1">
        <v>12</v>
      </c>
      <c r="E18" s="20">
        <v>17.790697000000002</v>
      </c>
      <c r="F18" s="3"/>
      <c r="G18" s="3"/>
      <c r="H18" s="3">
        <f t="shared" si="0"/>
        <v>1.0240963594882877</v>
      </c>
      <c r="J18" s="3"/>
      <c r="K18" s="3"/>
      <c r="L18" s="3"/>
      <c r="M18" s="14">
        <f t="shared" si="1"/>
        <v>19.127054686666664</v>
      </c>
      <c r="N18" s="14"/>
      <c r="O18" s="1">
        <f t="shared" si="3"/>
        <v>18.258670921863597</v>
      </c>
      <c r="P18" s="1">
        <f t="shared" si="2"/>
        <v>-0.46797392186359588</v>
      </c>
      <c r="Q18" s="1">
        <f t="shared" si="4"/>
        <v>0.21899959154439494</v>
      </c>
    </row>
    <row r="19" spans="3:17" x14ac:dyDescent="0.25">
      <c r="C19" s="27"/>
      <c r="D19" s="1">
        <v>13</v>
      </c>
      <c r="E19" s="20">
        <v>1.0465116999999999</v>
      </c>
      <c r="F19" s="3"/>
      <c r="G19" s="3"/>
      <c r="H19" s="3">
        <f t="shared" si="0"/>
        <v>6.0240968756417969E-2</v>
      </c>
      <c r="J19" s="3"/>
      <c r="K19" s="3"/>
      <c r="L19" s="3"/>
      <c r="M19" s="14">
        <f t="shared" si="1"/>
        <v>19.274341553333329</v>
      </c>
      <c r="O19" s="1">
        <f t="shared" si="3"/>
        <v>18.301789600361172</v>
      </c>
      <c r="P19" s="1">
        <f t="shared" si="2"/>
        <v>-17.255277900361172</v>
      </c>
      <c r="Q19" s="1">
        <f t="shared" si="4"/>
        <v>297.74461541869266</v>
      </c>
    </row>
    <row r="20" spans="3:17" x14ac:dyDescent="0.25">
      <c r="C20" s="27"/>
      <c r="D20" s="1">
        <v>14</v>
      </c>
      <c r="E20" s="20">
        <v>15.348837</v>
      </c>
      <c r="F20" s="3"/>
      <c r="G20" s="3"/>
      <c r="H20" s="3">
        <f t="shared" si="0"/>
        <v>0.88353413551358495</v>
      </c>
      <c r="J20" s="3"/>
      <c r="K20" s="3"/>
      <c r="L20" s="3"/>
      <c r="M20" s="14">
        <f t="shared" si="1"/>
        <v>20.004574106666663</v>
      </c>
      <c r="O20" s="1">
        <f t="shared" si="3"/>
        <v>18.344908278858746</v>
      </c>
      <c r="P20" s="1">
        <f t="shared" si="2"/>
        <v>-2.9960712788587465</v>
      </c>
      <c r="Q20" s="1">
        <f t="shared" si="4"/>
        <v>8.9764431080022842</v>
      </c>
    </row>
    <row r="21" spans="3:17" x14ac:dyDescent="0.25">
      <c r="C21" s="27"/>
      <c r="D21" s="1">
        <v>15</v>
      </c>
      <c r="E21" s="20">
        <v>15.174417999999999</v>
      </c>
      <c r="F21" s="3">
        <f>V3</f>
        <v>17.741246779892698</v>
      </c>
      <c r="G21" s="3">
        <f>V2</f>
        <v>4.3118678497574899E-2</v>
      </c>
      <c r="H21" s="3">
        <f t="shared" si="0"/>
        <v>0.87349395198813973</v>
      </c>
      <c r="J21" s="7"/>
      <c r="K21" s="7"/>
      <c r="L21" s="3"/>
      <c r="M21" s="14">
        <f t="shared" si="1"/>
        <v>20.181318306666661</v>
      </c>
      <c r="O21" s="1">
        <f t="shared" si="3"/>
        <v>18.38802695735632</v>
      </c>
      <c r="P21" s="1">
        <f t="shared" si="2"/>
        <v>-3.2136089573563211</v>
      </c>
      <c r="Q21" s="1">
        <f t="shared" si="4"/>
        <v>10.327282530800781</v>
      </c>
    </row>
    <row r="22" spans="3:17" x14ac:dyDescent="0.25">
      <c r="C22" s="27"/>
      <c r="D22" s="1">
        <v>16</v>
      </c>
      <c r="E22" s="20">
        <v>0.69767440000000003</v>
      </c>
      <c r="F22" s="6">
        <f t="shared" ref="F22:F53" si="5">$P$2*(E22/H7)+(1-$P$2)*(F21+G21)</f>
        <v>0.63750800631821347</v>
      </c>
      <c r="G22" s="11">
        <f>$P$3*(F22-F21)+(1-$P$3)*G21</f>
        <v>-1.4651064603478994E-3</v>
      </c>
      <c r="H22" s="6">
        <f t="shared" ref="H22:H53" si="6">$P$4*(E22/F22)+(1-$P$4)*H7</f>
        <v>1.0943774714756356</v>
      </c>
      <c r="I22" s="16">
        <f>(F22+(G22))*H7</f>
        <v>0.69607102049648395</v>
      </c>
      <c r="J22" s="7">
        <f t="shared" ref="J22:J53" si="7">E22-I22</f>
        <v>1.6033795035160781E-3</v>
      </c>
      <c r="K22" s="7">
        <f t="shared" ref="K22:K23" si="8">ABS(J22)</f>
        <v>1.6033795035160781E-3</v>
      </c>
      <c r="L22" s="3"/>
      <c r="M22" s="14">
        <f t="shared" si="1"/>
        <v>20.103023773333334</v>
      </c>
      <c r="O22" s="1">
        <f t="shared" si="3"/>
        <v>18.431145635853898</v>
      </c>
      <c r="P22" s="1">
        <f t="shared" si="2"/>
        <v>-17.733471235853898</v>
      </c>
      <c r="Q22" s="1">
        <f t="shared" si="4"/>
        <v>314.47600207285757</v>
      </c>
    </row>
    <row r="23" spans="3:17" x14ac:dyDescent="0.25">
      <c r="C23" s="27"/>
      <c r="D23" s="1">
        <v>17</v>
      </c>
      <c r="E23" s="20">
        <v>35.406979999999997</v>
      </c>
      <c r="F23" s="6">
        <f t="shared" si="5"/>
        <v>17.458093949567964</v>
      </c>
      <c r="G23" s="11">
        <f t="shared" ref="G23:G86" si="9">$P$3*(F23-F22)+(1-$P$3)*G22</f>
        <v>4.2274144807577248E-2</v>
      </c>
      <c r="H23" s="6">
        <f t="shared" si="6"/>
        <v>2.028112582180039</v>
      </c>
      <c r="I23" s="16">
        <f t="shared" ref="I23:I86" si="10">(F23+(G23))*H8</f>
        <v>35.492716724985144</v>
      </c>
      <c r="J23" s="7">
        <f t="shared" si="7"/>
        <v>-8.5736724985146395E-2</v>
      </c>
      <c r="K23" s="7">
        <f t="shared" si="8"/>
        <v>8.5736724985146395E-2</v>
      </c>
      <c r="L23" s="3"/>
      <c r="M23" s="14">
        <f t="shared" si="1"/>
        <v>20.589845480000001</v>
      </c>
      <c r="O23" s="1">
        <f t="shared" si="3"/>
        <v>18.474264314351473</v>
      </c>
      <c r="P23" s="1">
        <f t="shared" si="2"/>
        <v>16.932715685648525</v>
      </c>
      <c r="Q23" s="1">
        <f t="shared" si="4"/>
        <v>286.71686049100759</v>
      </c>
    </row>
    <row r="24" spans="3:17" x14ac:dyDescent="0.25">
      <c r="C24" s="27"/>
      <c r="D24" s="1">
        <v>18</v>
      </c>
      <c r="E24" s="20">
        <v>20.581396000000002</v>
      </c>
      <c r="F24" s="6">
        <f t="shared" si="5"/>
        <v>12.129627390418634</v>
      </c>
      <c r="G24" s="11">
        <f t="shared" si="9"/>
        <v>2.8309606449497975E-2</v>
      </c>
      <c r="H24" s="6">
        <f t="shared" si="6"/>
        <v>1.6967871590398185</v>
      </c>
      <c r="I24" s="16">
        <f t="shared" si="10"/>
        <v>20.629431376700982</v>
      </c>
      <c r="J24" s="7">
        <f t="shared" si="7"/>
        <v>-4.8035376700980237E-2</v>
      </c>
      <c r="K24" s="7">
        <f>ABS(J24)</f>
        <v>4.8035376700980237E-2</v>
      </c>
      <c r="M24" s="14">
        <f t="shared" si="1"/>
        <v>19.229380146666667</v>
      </c>
      <c r="O24" s="1">
        <f t="shared" si="3"/>
        <v>18.517382992849047</v>
      </c>
      <c r="P24" s="1">
        <f t="shared" si="2"/>
        <v>2.0640130071509546</v>
      </c>
      <c r="Q24" s="1">
        <f t="shared" si="4"/>
        <v>4.2601496936883265</v>
      </c>
    </row>
    <row r="25" spans="3:17" x14ac:dyDescent="0.25">
      <c r="C25" s="27"/>
      <c r="D25" s="1">
        <v>19</v>
      </c>
      <c r="E25" s="20">
        <v>21.627907</v>
      </c>
      <c r="F25" s="6">
        <f t="shared" si="5"/>
        <v>55.234345455989498</v>
      </c>
      <c r="G25" s="11">
        <f t="shared" si="9"/>
        <v>0.14031318126600381</v>
      </c>
      <c r="H25" s="6">
        <f t="shared" si="6"/>
        <v>0.39156627676946093</v>
      </c>
      <c r="I25" s="16">
        <f t="shared" si="10"/>
        <v>21.682848909970005</v>
      </c>
      <c r="J25" s="7">
        <f t="shared" si="7"/>
        <v>-5.4941909970004588E-2</v>
      </c>
      <c r="K25" s="7">
        <f t="shared" ref="K25:K88" si="11">ABS(J25)</f>
        <v>5.4941909970004588E-2</v>
      </c>
      <c r="M25" s="14">
        <f t="shared" si="1"/>
        <v>19.923953746666665</v>
      </c>
      <c r="O25" s="1">
        <f t="shared" si="3"/>
        <v>18.560501671346621</v>
      </c>
      <c r="P25" s="1">
        <f t="shared" si="2"/>
        <v>3.0674053286533791</v>
      </c>
      <c r="Q25" s="1">
        <f t="shared" si="4"/>
        <v>9.4089754502511447</v>
      </c>
    </row>
    <row r="26" spans="3:17" x14ac:dyDescent="0.25">
      <c r="C26" s="27"/>
      <c r="D26" s="1">
        <v>20</v>
      </c>
      <c r="E26" s="20">
        <v>41.162792000000003</v>
      </c>
      <c r="F26" s="6">
        <f t="shared" si="5"/>
        <v>67.21006536521719</v>
      </c>
      <c r="G26" s="11">
        <f t="shared" si="9"/>
        <v>0.17108658857541331</v>
      </c>
      <c r="H26" s="6">
        <f t="shared" si="6"/>
        <v>0.61244981352603667</v>
      </c>
      <c r="I26" s="16">
        <f t="shared" si="10"/>
        <v>41.267573949269817</v>
      </c>
      <c r="J26" s="7">
        <f t="shared" si="7"/>
        <v>-0.10478194926981388</v>
      </c>
      <c r="K26" s="7">
        <f t="shared" si="11"/>
        <v>0.10478194926981388</v>
      </c>
      <c r="M26" s="14">
        <f t="shared" si="1"/>
        <v>19.082093279999999</v>
      </c>
      <c r="O26" s="1">
        <f t="shared" si="3"/>
        <v>18.603620349844196</v>
      </c>
      <c r="P26" s="1">
        <f t="shared" si="2"/>
        <v>22.559171650155807</v>
      </c>
      <c r="Q26" s="1">
        <f t="shared" si="4"/>
        <v>508.91622554119351</v>
      </c>
    </row>
    <row r="27" spans="3:17" x14ac:dyDescent="0.25">
      <c r="C27" s="27"/>
      <c r="D27" s="1">
        <v>21</v>
      </c>
      <c r="E27" s="20">
        <v>4.5180235</v>
      </c>
      <c r="F27" s="6">
        <f t="shared" si="5"/>
        <v>7.0311744236612004</v>
      </c>
      <c r="G27" s="11">
        <f t="shared" si="9"/>
        <v>1.4169764140408159E-2</v>
      </c>
      <c r="H27" s="6">
        <f t="shared" si="6"/>
        <v>0.64257024897519488</v>
      </c>
      <c r="I27" s="16">
        <f t="shared" si="10"/>
        <v>4.5271285688716256</v>
      </c>
      <c r="J27" s="7">
        <f t="shared" si="7"/>
        <v>-9.1050688716256545E-3</v>
      </c>
      <c r="K27" s="7">
        <f t="shared" si="11"/>
        <v>9.1050688716256545E-3</v>
      </c>
      <c r="M27" s="14">
        <f t="shared" si="1"/>
        <v>17.071240479999997</v>
      </c>
      <c r="O27" s="1">
        <f t="shared" si="3"/>
        <v>18.64673902834177</v>
      </c>
      <c r="P27" s="1">
        <f t="shared" si="2"/>
        <v>-14.12871552834177</v>
      </c>
      <c r="Q27" s="1">
        <f t="shared" si="4"/>
        <v>199.62060248080587</v>
      </c>
    </row>
    <row r="28" spans="3:17" x14ac:dyDescent="0.25">
      <c r="C28" s="27"/>
      <c r="D28" s="1">
        <v>22</v>
      </c>
      <c r="E28" s="20">
        <v>24.209885</v>
      </c>
      <c r="F28" s="6">
        <f t="shared" si="5"/>
        <v>25.92800591943416</v>
      </c>
      <c r="G28" s="11">
        <f t="shared" si="9"/>
        <v>6.3266838191990235E-2</v>
      </c>
      <c r="H28" s="6">
        <f t="shared" si="6"/>
        <v>0.93373493801363439</v>
      </c>
      <c r="I28" s="16">
        <f t="shared" si="10"/>
        <v>24.268959457237514</v>
      </c>
      <c r="J28" s="7">
        <f t="shared" si="7"/>
        <v>-5.9074457237514366E-2</v>
      </c>
      <c r="K28" s="7">
        <f t="shared" si="11"/>
        <v>5.9074457237514366E-2</v>
      </c>
      <c r="M28" s="14">
        <f t="shared" si="1"/>
        <v>17.636705580000001</v>
      </c>
      <c r="O28" s="1">
        <f t="shared" si="3"/>
        <v>18.689857706839344</v>
      </c>
      <c r="P28" s="1">
        <f t="shared" si="2"/>
        <v>5.5200272931606555</v>
      </c>
      <c r="Q28" s="1">
        <f t="shared" si="4"/>
        <v>30.470701317238554</v>
      </c>
    </row>
    <row r="29" spans="3:17" x14ac:dyDescent="0.25">
      <c r="C29" s="27"/>
      <c r="D29" s="1">
        <v>23</v>
      </c>
      <c r="E29" s="20">
        <v>7.7976747</v>
      </c>
      <c r="F29" s="6">
        <f t="shared" si="5"/>
        <v>7.6142001948881859</v>
      </c>
      <c r="G29" s="11">
        <f t="shared" si="9"/>
        <v>1.5484353641490617E-2</v>
      </c>
      <c r="H29" s="6">
        <f t="shared" si="6"/>
        <v>1.0240963594882875</v>
      </c>
      <c r="I29" s="16">
        <f t="shared" si="10"/>
        <v>7.8135321701932821</v>
      </c>
      <c r="J29" s="7">
        <f t="shared" si="7"/>
        <v>-1.5857470193282097E-2</v>
      </c>
      <c r="K29" s="7">
        <f t="shared" si="11"/>
        <v>1.5857470193282097E-2</v>
      </c>
      <c r="M29" s="14">
        <f t="shared" si="1"/>
        <v>16.489379913333334</v>
      </c>
      <c r="O29" s="1">
        <f t="shared" si="3"/>
        <v>18.732976385336922</v>
      </c>
      <c r="P29" s="1">
        <f t="shared" si="2"/>
        <v>-10.935301685336922</v>
      </c>
      <c r="Q29" s="1">
        <f t="shared" si="4"/>
        <v>119.58082294933253</v>
      </c>
    </row>
    <row r="30" spans="3:17" x14ac:dyDescent="0.25">
      <c r="C30" s="27"/>
      <c r="D30" s="1">
        <v>24</v>
      </c>
      <c r="E30" s="20">
        <v>13.187208999999999</v>
      </c>
      <c r="F30" s="6">
        <f t="shared" si="5"/>
        <v>6.7703404668881042</v>
      </c>
      <c r="G30" s="11">
        <f t="shared" si="9"/>
        <v>1.32499610218598E-2</v>
      </c>
      <c r="H30" s="6">
        <f t="shared" si="6"/>
        <v>1.9477911139764765</v>
      </c>
      <c r="I30" s="16">
        <f t="shared" si="10"/>
        <v>13.21301715633891</v>
      </c>
      <c r="J30" s="7">
        <f t="shared" si="7"/>
        <v>-2.5808156338911203E-2</v>
      </c>
      <c r="K30" s="7">
        <f t="shared" si="11"/>
        <v>2.5808156338911203E-2</v>
      </c>
      <c r="M30" s="14">
        <f t="shared" si="1"/>
        <v>19.302868266666668</v>
      </c>
      <c r="O30" s="1">
        <f t="shared" si="3"/>
        <v>18.776095063834497</v>
      </c>
      <c r="P30" s="1">
        <f t="shared" si="2"/>
        <v>-5.5888860638344973</v>
      </c>
      <c r="Q30" s="1">
        <f t="shared" si="4"/>
        <v>31.235647434523461</v>
      </c>
    </row>
    <row r="31" spans="3:17" x14ac:dyDescent="0.25">
      <c r="C31" s="27"/>
      <c r="D31" s="1">
        <v>25</v>
      </c>
      <c r="E31" s="20">
        <v>17.006395000000001</v>
      </c>
      <c r="F31" s="6">
        <f t="shared" si="5"/>
        <v>43.431715162776158</v>
      </c>
      <c r="G31" s="11">
        <f t="shared" si="9"/>
        <v>0.10853926501575059</v>
      </c>
      <c r="H31" s="6">
        <f t="shared" si="6"/>
        <v>0.39156627676946093</v>
      </c>
      <c r="I31" s="16">
        <f t="shared" si="10"/>
        <v>17.04889531588551</v>
      </c>
      <c r="J31" s="7">
        <f t="shared" si="7"/>
        <v>-4.25003158855084E-2</v>
      </c>
      <c r="K31" s="7">
        <f t="shared" si="11"/>
        <v>4.25003158855084E-2</v>
      </c>
      <c r="M31" s="14">
        <f t="shared" si="1"/>
        <v>19.690387666666666</v>
      </c>
      <c r="O31" s="1">
        <f t="shared" si="3"/>
        <v>18.819213742332071</v>
      </c>
      <c r="P31" s="1">
        <f t="shared" si="2"/>
        <v>-1.8128187423320696</v>
      </c>
      <c r="Q31" s="1">
        <f t="shared" si="4"/>
        <v>3.2863117925504266</v>
      </c>
    </row>
    <row r="32" spans="3:17" x14ac:dyDescent="0.25">
      <c r="C32" s="27"/>
      <c r="D32" s="1">
        <v>26</v>
      </c>
      <c r="E32" s="20">
        <v>51.349420000000002</v>
      </c>
      <c r="F32" s="6">
        <f t="shared" si="5"/>
        <v>36.794260273721108</v>
      </c>
      <c r="G32" s="11">
        <f t="shared" si="9"/>
        <v>9.0998910841047165E-2</v>
      </c>
      <c r="H32" s="6">
        <f t="shared" si="6"/>
        <v>1.395582344039523</v>
      </c>
      <c r="I32" s="16">
        <f t="shared" si="10"/>
        <v>51.476416473296588</v>
      </c>
      <c r="J32" s="7">
        <f t="shared" si="7"/>
        <v>-0.12699647329658603</v>
      </c>
      <c r="K32" s="7">
        <f t="shared" si="11"/>
        <v>0.12699647329658603</v>
      </c>
      <c r="M32" s="14">
        <f t="shared" si="1"/>
        <v>20.023294666666668</v>
      </c>
      <c r="O32" s="1">
        <f t="shared" si="3"/>
        <v>18.862332420829645</v>
      </c>
      <c r="P32" s="1">
        <f t="shared" si="2"/>
        <v>32.487087579170357</v>
      </c>
      <c r="Q32" s="1">
        <f t="shared" si="4"/>
        <v>1055.4108593766848</v>
      </c>
    </row>
    <row r="33" spans="1:17" x14ac:dyDescent="0.25">
      <c r="C33" s="28" t="s">
        <v>22</v>
      </c>
      <c r="D33" s="1">
        <v>27</v>
      </c>
      <c r="E33" s="4">
        <v>20</v>
      </c>
      <c r="F33" s="7">
        <f t="shared" si="5"/>
        <v>19.5294122615507</v>
      </c>
      <c r="G33" s="10">
        <f>$P$3*(F33-F32)+(1-$P$3)*G32</f>
        <v>4.5871729423634579E-2</v>
      </c>
      <c r="H33" s="7">
        <f t="shared" si="6"/>
        <v>1.0240963594882877</v>
      </c>
      <c r="I33" s="16">
        <f t="shared" si="10"/>
        <v>20.046977071106173</v>
      </c>
      <c r="J33" s="7">
        <f t="shared" si="7"/>
        <v>-4.697707110617344E-2</v>
      </c>
      <c r="K33" s="7">
        <f t="shared" si="11"/>
        <v>4.697707110617344E-2</v>
      </c>
      <c r="M33" s="14">
        <f t="shared" si="1"/>
        <v>17.666666666666668</v>
      </c>
      <c r="O33" s="1">
        <f t="shared" si="3"/>
        <v>18.90545109932722</v>
      </c>
      <c r="P33" s="1">
        <f t="shared" si="2"/>
        <v>1.0945489006727804</v>
      </c>
      <c r="Q33" s="1">
        <f t="shared" si="4"/>
        <v>1.1980372959639922</v>
      </c>
    </row>
    <row r="34" spans="1:17" x14ac:dyDescent="0.25">
      <c r="C34" s="28"/>
      <c r="D34" s="1">
        <v>28</v>
      </c>
      <c r="E34" s="5">
        <v>12</v>
      </c>
      <c r="F34" s="7">
        <f t="shared" si="5"/>
        <v>199.19998379377887</v>
      </c>
      <c r="G34" s="10">
        <f t="shared" si="9"/>
        <v>0.51291643493449379</v>
      </c>
      <c r="H34" s="7">
        <f t="shared" si="6"/>
        <v>6.0240968756417976E-2</v>
      </c>
      <c r="I34" s="16">
        <f t="shared" si="10"/>
        <v>12.03089858293154</v>
      </c>
      <c r="J34" s="7">
        <f t="shared" si="7"/>
        <v>-3.089858293154002E-2</v>
      </c>
      <c r="K34" s="7">
        <f t="shared" si="11"/>
        <v>3.089858293154002E-2</v>
      </c>
      <c r="M34" s="14">
        <f t="shared" si="1"/>
        <v>17</v>
      </c>
      <c r="O34" s="1">
        <f t="shared" si="3"/>
        <v>18.948569777824794</v>
      </c>
      <c r="P34" s="1">
        <f t="shared" si="2"/>
        <v>-6.9485697778247939</v>
      </c>
      <c r="Q34" s="1">
        <f t="shared" si="4"/>
        <v>48.282621957300108</v>
      </c>
    </row>
    <row r="35" spans="1:17" x14ac:dyDescent="0.25">
      <c r="C35" s="28"/>
      <c r="D35" s="1">
        <v>29</v>
      </c>
      <c r="E35" s="5">
        <v>18</v>
      </c>
      <c r="F35" s="7">
        <f t="shared" si="5"/>
        <v>20.372727296537207</v>
      </c>
      <c r="G35" s="10">
        <f t="shared" si="9"/>
        <v>4.6611531737283329E-2</v>
      </c>
      <c r="H35" s="7">
        <f t="shared" si="6"/>
        <v>0.88353413551358417</v>
      </c>
      <c r="I35" s="16">
        <f t="shared" si="10"/>
        <v>18.04118287939848</v>
      </c>
      <c r="J35" s="7">
        <f t="shared" si="7"/>
        <v>-4.118287939848031E-2</v>
      </c>
      <c r="K35" s="7">
        <f t="shared" si="11"/>
        <v>4.118287939848031E-2</v>
      </c>
      <c r="M35" s="14">
        <f t="shared" si="1"/>
        <v>18.066666666666666</v>
      </c>
      <c r="O35" s="1">
        <f t="shared" si="3"/>
        <v>18.991688456322372</v>
      </c>
      <c r="P35" s="1">
        <f t="shared" si="2"/>
        <v>-0.99168845632237179</v>
      </c>
      <c r="Q35" s="1">
        <f t="shared" si="4"/>
        <v>0.9834459944030487</v>
      </c>
    </row>
    <row r="36" spans="1:17" x14ac:dyDescent="0.25">
      <c r="C36" s="28"/>
      <c r="D36" s="1">
        <v>30</v>
      </c>
      <c r="E36" s="5">
        <v>14</v>
      </c>
      <c r="F36" s="7">
        <f t="shared" si="5"/>
        <v>16.027586645717374</v>
      </c>
      <c r="G36" s="10">
        <f t="shared" si="9"/>
        <v>3.5192475187539068E-2</v>
      </c>
      <c r="H36" s="7">
        <f t="shared" si="6"/>
        <v>0.87349395198813962</v>
      </c>
      <c r="I36" s="16">
        <f t="shared" si="10"/>
        <v>14.03074041423181</v>
      </c>
      <c r="J36" s="7">
        <f t="shared" si="7"/>
        <v>-3.074041423180951E-2</v>
      </c>
      <c r="K36" s="7">
        <f t="shared" si="11"/>
        <v>3.074041423180951E-2</v>
      </c>
      <c r="M36" s="14">
        <f t="shared" si="1"/>
        <v>17.666666666666668</v>
      </c>
      <c r="O36" s="1">
        <f t="shared" si="3"/>
        <v>19.034807134819946</v>
      </c>
      <c r="P36" s="1">
        <f t="shared" si="2"/>
        <v>-5.0348071348199461</v>
      </c>
      <c r="Q36" s="1">
        <f t="shared" si="4"/>
        <v>25.349282884833837</v>
      </c>
    </row>
    <row r="37" spans="1:17" x14ac:dyDescent="0.25">
      <c r="C37" s="28"/>
      <c r="D37" s="1">
        <v>31</v>
      </c>
      <c r="E37" s="5">
        <v>8</v>
      </c>
      <c r="F37" s="7">
        <f t="shared" si="5"/>
        <v>7.3100920007179688</v>
      </c>
      <c r="G37" s="10">
        <f t="shared" si="9"/>
        <v>1.243449043953853E-2</v>
      </c>
      <c r="H37" s="7">
        <f t="shared" si="6"/>
        <v>1.0943774714756356</v>
      </c>
      <c r="I37" s="16">
        <f t="shared" si="10"/>
        <v>8.0136080262063114</v>
      </c>
      <c r="J37" s="7">
        <f t="shared" si="7"/>
        <v>-1.3608026206311408E-2</v>
      </c>
      <c r="K37" s="7">
        <f t="shared" si="11"/>
        <v>1.3608026206311408E-2</v>
      </c>
      <c r="M37" s="14">
        <f t="shared" si="1"/>
        <v>17.533333333333335</v>
      </c>
      <c r="O37" s="1">
        <f t="shared" si="3"/>
        <v>19.07792581331752</v>
      </c>
      <c r="P37" s="1">
        <f t="shared" si="2"/>
        <v>-11.07792581331752</v>
      </c>
      <c r="Q37" s="1">
        <f t="shared" si="4"/>
        <v>122.72044032536665</v>
      </c>
    </row>
    <row r="38" spans="1:17" x14ac:dyDescent="0.25">
      <c r="C38" s="28"/>
      <c r="D38" s="1">
        <v>32</v>
      </c>
      <c r="E38" s="5">
        <v>15</v>
      </c>
      <c r="F38" s="7">
        <f t="shared" si="5"/>
        <v>7.3960391211992516</v>
      </c>
      <c r="G38" s="10">
        <f t="shared" si="9"/>
        <v>1.2625631661691538E-2</v>
      </c>
      <c r="H38" s="7">
        <f t="shared" si="6"/>
        <v>2.028112582180039</v>
      </c>
      <c r="I38" s="16">
        <f t="shared" si="10"/>
        <v>15.025606202431048</v>
      </c>
      <c r="J38" s="7">
        <f t="shared" si="7"/>
        <v>-2.560620243104772E-2</v>
      </c>
      <c r="K38" s="7">
        <f t="shared" si="11"/>
        <v>2.560620243104772E-2</v>
      </c>
      <c r="M38" s="14">
        <f t="shared" si="1"/>
        <v>18.2</v>
      </c>
      <c r="O38" s="1">
        <f t="shared" si="3"/>
        <v>19.121044491815095</v>
      </c>
      <c r="P38" s="1">
        <f t="shared" si="2"/>
        <v>-4.1210444918150948</v>
      </c>
      <c r="Q38" s="1">
        <f t="shared" si="4"/>
        <v>16.983007703519533</v>
      </c>
    </row>
    <row r="39" spans="1:17" x14ac:dyDescent="0.25">
      <c r="C39" s="28"/>
      <c r="D39" s="1">
        <v>33</v>
      </c>
      <c r="E39" s="5">
        <v>31</v>
      </c>
      <c r="F39" s="7">
        <f t="shared" si="5"/>
        <v>18.269822372737863</v>
      </c>
      <c r="G39" s="10">
        <f t="shared" si="9"/>
        <v>4.0865880177910568E-2</v>
      </c>
      <c r="H39" s="7">
        <f t="shared" si="6"/>
        <v>1.6967871590398187</v>
      </c>
      <c r="I39" s="16">
        <f t="shared" si="10"/>
        <v>31.069340700728734</v>
      </c>
      <c r="J39" s="7">
        <f t="shared" si="7"/>
        <v>-6.9340700728734106E-2</v>
      </c>
      <c r="K39" s="7">
        <f t="shared" si="11"/>
        <v>6.9340700728734106E-2</v>
      </c>
      <c r="M39" s="14">
        <f t="shared" ref="M39:M68" si="12">AVERAGE(E39:E53)</f>
        <v>17.733333333333334</v>
      </c>
      <c r="O39" s="1">
        <f t="shared" si="3"/>
        <v>19.164163170312669</v>
      </c>
      <c r="P39" s="1">
        <f t="shared" si="2"/>
        <v>11.835836829687331</v>
      </c>
      <c r="Q39" s="1">
        <f t="shared" si="4"/>
        <v>140.08703345898306</v>
      </c>
    </row>
    <row r="40" spans="1:17" x14ac:dyDescent="0.25">
      <c r="C40" s="28"/>
      <c r="D40" s="1">
        <v>34</v>
      </c>
      <c r="E40" s="5">
        <v>9</v>
      </c>
      <c r="F40" s="7">
        <f t="shared" si="5"/>
        <v>22.984614697293893</v>
      </c>
      <c r="G40" s="10">
        <f t="shared" si="9"/>
        <v>5.3018621990091525E-2</v>
      </c>
      <c r="H40" s="7">
        <f t="shared" si="6"/>
        <v>0.39156627676946093</v>
      </c>
      <c r="I40" s="16">
        <f t="shared" si="10"/>
        <v>9.0207603044121072</v>
      </c>
      <c r="J40" s="9">
        <f t="shared" si="7"/>
        <v>-2.0760304412107189E-2</v>
      </c>
      <c r="K40" s="9">
        <f t="shared" si="11"/>
        <v>2.0760304412107189E-2</v>
      </c>
      <c r="M40" s="14">
        <f t="shared" si="12"/>
        <v>16.600000000000001</v>
      </c>
      <c r="O40" s="1">
        <f t="shared" si="3"/>
        <v>19.207281848810243</v>
      </c>
      <c r="P40" s="1">
        <f t="shared" ref="P40:P70" si="13">E40-O40</f>
        <v>-10.207281848810243</v>
      </c>
      <c r="Q40" s="1">
        <f t="shared" si="4"/>
        <v>104.18860274105106</v>
      </c>
    </row>
    <row r="41" spans="1:17" x14ac:dyDescent="0.25">
      <c r="C41" s="28"/>
      <c r="D41" s="1">
        <v>35</v>
      </c>
      <c r="E41" s="5">
        <v>11</v>
      </c>
      <c r="F41" s="7">
        <f t="shared" si="5"/>
        <v>17.960655317486459</v>
      </c>
      <c r="G41" s="10">
        <f t="shared" si="9"/>
        <v>3.9817900160979178E-2</v>
      </c>
      <c r="H41" s="7">
        <f t="shared" si="6"/>
        <v>0.61244981352603667</v>
      </c>
      <c r="I41" s="16">
        <f t="shared" si="10"/>
        <v>11.024386465528591</v>
      </c>
      <c r="J41" s="9">
        <f t="shared" si="7"/>
        <v>-2.4386465528591472E-2</v>
      </c>
      <c r="K41" s="9">
        <f t="shared" si="11"/>
        <v>2.4386465528591472E-2</v>
      </c>
      <c r="M41" s="14">
        <f t="shared" si="12"/>
        <v>17.333333333333332</v>
      </c>
      <c r="O41" s="1">
        <f t="shared" si="3"/>
        <v>19.250400527307821</v>
      </c>
      <c r="P41" s="1">
        <f t="shared" si="13"/>
        <v>-8.2504005273078214</v>
      </c>
      <c r="Q41" s="1">
        <f t="shared" si="4"/>
        <v>68.069108861001183</v>
      </c>
    </row>
    <row r="42" spans="1:17" x14ac:dyDescent="0.25">
      <c r="C42" s="28"/>
      <c r="D42" s="1">
        <v>36</v>
      </c>
      <c r="E42" s="5">
        <v>13</v>
      </c>
      <c r="F42" s="7">
        <f t="shared" si="5"/>
        <v>20.23125101221709</v>
      </c>
      <c r="G42" s="10">
        <f t="shared" si="9"/>
        <v>4.5618176844913712E-2</v>
      </c>
      <c r="H42" s="7">
        <f t="shared" si="6"/>
        <v>0.64257024897519499</v>
      </c>
      <c r="I42" s="16">
        <f t="shared" si="10"/>
        <v>13.029312883253031</v>
      </c>
      <c r="J42" s="9">
        <f t="shared" si="7"/>
        <v>-2.9312883253030719E-2</v>
      </c>
      <c r="K42" s="9">
        <f t="shared" si="11"/>
        <v>2.9312883253030719E-2</v>
      </c>
      <c r="M42" s="14">
        <f t="shared" si="12"/>
        <v>18.066666666666666</v>
      </c>
      <c r="O42" s="1">
        <f t="shared" si="3"/>
        <v>19.293519205805396</v>
      </c>
      <c r="P42" s="1">
        <f t="shared" si="13"/>
        <v>-6.2935192058053957</v>
      </c>
      <c r="Q42" s="1">
        <f t="shared" si="4"/>
        <v>39.608383993841379</v>
      </c>
    </row>
    <row r="43" spans="1:17" x14ac:dyDescent="0.25">
      <c r="C43" s="28"/>
      <c r="D43" s="1">
        <v>37</v>
      </c>
      <c r="E43" s="5">
        <v>7</v>
      </c>
      <c r="F43" s="7">
        <f t="shared" si="5"/>
        <v>7.4967742075618764</v>
      </c>
      <c r="G43" s="10">
        <f t="shared" si="9"/>
        <v>1.2388472335521171E-2</v>
      </c>
      <c r="H43" s="7">
        <f t="shared" si="6"/>
        <v>0.93373493801363416</v>
      </c>
      <c r="I43" s="16">
        <f t="shared" si="10"/>
        <v>7.0115675494482934</v>
      </c>
      <c r="J43" s="9">
        <f t="shared" si="7"/>
        <v>-1.1567549448293413E-2</v>
      </c>
      <c r="K43" s="9">
        <f t="shared" si="11"/>
        <v>1.1567549448293413E-2</v>
      </c>
      <c r="M43" s="14">
        <f t="shared" si="12"/>
        <v>21.733333333333334</v>
      </c>
      <c r="O43" s="1">
        <f t="shared" si="3"/>
        <v>19.33663788430297</v>
      </c>
      <c r="P43" s="1">
        <f t="shared" si="13"/>
        <v>-12.33663788430297</v>
      </c>
      <c r="Q43" s="1">
        <f t="shared" si="4"/>
        <v>152.19263428841927</v>
      </c>
    </row>
    <row r="44" spans="1:17" x14ac:dyDescent="0.25">
      <c r="A44" s="1">
        <f>AVERAGE(E7:E21)</f>
        <v>17.372092806666664</v>
      </c>
      <c r="C44" s="28"/>
      <c r="D44" s="1">
        <v>38</v>
      </c>
      <c r="E44" s="5">
        <v>50</v>
      </c>
      <c r="F44" s="7">
        <f t="shared" si="5"/>
        <v>48.823530653876752</v>
      </c>
      <c r="G44" s="10">
        <f t="shared" si="9"/>
        <v>0.11981054093164187</v>
      </c>
      <c r="H44" s="7">
        <f t="shared" si="6"/>
        <v>1.0240963594882877</v>
      </c>
      <c r="I44" s="16">
        <f t="shared" si="10"/>
        <v>50.122697538796402</v>
      </c>
      <c r="J44" s="9">
        <f t="shared" si="7"/>
        <v>-0.12269753879640177</v>
      </c>
      <c r="K44" s="9">
        <f t="shared" si="11"/>
        <v>0.12269753879640177</v>
      </c>
      <c r="M44" s="14">
        <f t="shared" si="12"/>
        <v>22.4</v>
      </c>
      <c r="O44" s="1">
        <f t="shared" si="3"/>
        <v>19.379756562800544</v>
      </c>
      <c r="P44" s="1">
        <f t="shared" si="13"/>
        <v>30.620243437199456</v>
      </c>
      <c r="Q44" s="1">
        <f t="shared" si="4"/>
        <v>937.59930815335633</v>
      </c>
    </row>
    <row r="45" spans="1:17" x14ac:dyDescent="0.25">
      <c r="C45" s="28"/>
      <c r="D45" s="1">
        <v>39</v>
      </c>
      <c r="E45" s="5">
        <v>19</v>
      </c>
      <c r="F45" s="7">
        <f t="shared" si="5"/>
        <v>9.7546394290766187</v>
      </c>
      <c r="G45" s="10">
        <f t="shared" si="9"/>
        <v>1.7915446907143376E-2</v>
      </c>
      <c r="H45" s="7">
        <f t="shared" si="6"/>
        <v>1.9477911139764756</v>
      </c>
      <c r="I45" s="16">
        <f t="shared" si="10"/>
        <v>19.034895548288659</v>
      </c>
      <c r="J45" s="9">
        <f t="shared" si="7"/>
        <v>-3.4895548288659484E-2</v>
      </c>
      <c r="K45" s="9">
        <f t="shared" si="11"/>
        <v>3.4895548288659484E-2</v>
      </c>
      <c r="M45" s="14">
        <f t="shared" si="12"/>
        <v>21.533333333333335</v>
      </c>
      <c r="O45" s="1">
        <f t="shared" si="3"/>
        <v>19.422875241298119</v>
      </c>
      <c r="P45" s="1">
        <f t="shared" si="13"/>
        <v>-0.42287524129811871</v>
      </c>
      <c r="Q45" s="1">
        <f t="shared" si="4"/>
        <v>0.17882346970294213</v>
      </c>
    </row>
    <row r="46" spans="1:17" x14ac:dyDescent="0.25">
      <c r="C46" s="28"/>
      <c r="D46" s="1">
        <v>40</v>
      </c>
      <c r="E46" s="5">
        <v>22</v>
      </c>
      <c r="F46" s="7">
        <f t="shared" si="5"/>
        <v>56.184613704496179</v>
      </c>
      <c r="G46" s="10">
        <f t="shared" si="9"/>
        <v>0.13859209311176968</v>
      </c>
      <c r="H46" s="7">
        <f t="shared" si="6"/>
        <v>0.39156627676946093</v>
      </c>
      <c r="I46" s="16">
        <f t="shared" si="10"/>
        <v>22.05426798988946</v>
      </c>
      <c r="J46" s="9">
        <f t="shared" si="7"/>
        <v>-5.4267989889460466E-2</v>
      </c>
      <c r="K46" s="9">
        <f t="shared" si="11"/>
        <v>5.4267989889460466E-2</v>
      </c>
      <c r="M46" s="14">
        <f t="shared" si="12"/>
        <v>21.266666666666666</v>
      </c>
      <c r="O46" s="1">
        <f t="shared" si="3"/>
        <v>19.465993919795693</v>
      </c>
      <c r="P46" s="1">
        <f t="shared" si="13"/>
        <v>2.534006080204307</v>
      </c>
      <c r="Q46" s="1">
        <f t="shared" si="4"/>
        <v>6.4211868145123967</v>
      </c>
    </row>
    <row r="47" spans="1:17" x14ac:dyDescent="0.25">
      <c r="C47" s="28"/>
      <c r="D47" s="1">
        <v>41</v>
      </c>
      <c r="E47" s="5">
        <v>16</v>
      </c>
      <c r="F47" s="7">
        <f t="shared" si="5"/>
        <v>11.464748080495124</v>
      </c>
      <c r="G47" s="10">
        <f t="shared" si="9"/>
        <v>2.1954986983488911E-2</v>
      </c>
      <c r="H47" s="7">
        <f t="shared" si="6"/>
        <v>1.3955823440395225</v>
      </c>
      <c r="I47" s="16">
        <f t="shared" si="10"/>
        <v>16.030639992197781</v>
      </c>
      <c r="J47" s="9">
        <f t="shared" si="7"/>
        <v>-3.0639992197780686E-2</v>
      </c>
      <c r="K47" s="9">
        <f t="shared" si="11"/>
        <v>3.0639992197780686E-2</v>
      </c>
      <c r="M47" s="14">
        <f t="shared" si="12"/>
        <v>20.333333333333332</v>
      </c>
      <c r="O47" s="1">
        <f t="shared" si="3"/>
        <v>19.509112598293271</v>
      </c>
      <c r="P47" s="1">
        <f t="shared" si="13"/>
        <v>-3.5091125982932709</v>
      </c>
      <c r="Q47" s="1">
        <f t="shared" si="4"/>
        <v>12.313871227500551</v>
      </c>
    </row>
    <row r="48" spans="1:17" x14ac:dyDescent="0.25">
      <c r="C48" s="28"/>
      <c r="D48" s="1">
        <v>42</v>
      </c>
      <c r="E48" s="5">
        <v>10</v>
      </c>
      <c r="F48" s="7">
        <f t="shared" si="5"/>
        <v>9.76470613077535</v>
      </c>
      <c r="G48" s="10">
        <f t="shared" si="9"/>
        <v>1.7477598555972553E-2</v>
      </c>
      <c r="H48" s="7">
        <f t="shared" si="6"/>
        <v>1.0240963594882877</v>
      </c>
      <c r="I48" s="16">
        <f t="shared" si="10"/>
        <v>10.017898745053769</v>
      </c>
      <c r="J48" s="9">
        <f t="shared" si="7"/>
        <v>-1.789874505376865E-2</v>
      </c>
      <c r="K48" s="9">
        <f t="shared" si="11"/>
        <v>1.789874505376865E-2</v>
      </c>
      <c r="M48" s="14">
        <f t="shared" si="12"/>
        <v>19.933333333333334</v>
      </c>
      <c r="O48" s="1">
        <f t="shared" si="3"/>
        <v>19.552231276790845</v>
      </c>
      <c r="P48" s="1">
        <f t="shared" si="13"/>
        <v>-9.5522312767908453</v>
      </c>
      <c r="Q48" s="1">
        <f t="shared" si="4"/>
        <v>91.245122365301256</v>
      </c>
    </row>
    <row r="49" spans="3:25" x14ac:dyDescent="0.25">
      <c r="C49" s="28"/>
      <c r="D49" s="1">
        <v>43</v>
      </c>
      <c r="E49" s="5">
        <v>28</v>
      </c>
      <c r="F49" s="7">
        <f t="shared" si="5"/>
        <v>464.79996218548399</v>
      </c>
      <c r="G49" s="10">
        <f t="shared" si="9"/>
        <v>1.2005757168802385</v>
      </c>
      <c r="H49" s="7">
        <f t="shared" si="6"/>
        <v>6.0240968756417983E-2</v>
      </c>
      <c r="I49" s="16">
        <f t="shared" si="10"/>
        <v>28.072323844250292</v>
      </c>
      <c r="J49" s="9">
        <f t="shared" si="7"/>
        <v>-7.2323844250291813E-2</v>
      </c>
      <c r="K49" s="9">
        <f t="shared" si="11"/>
        <v>7.2323844250291813E-2</v>
      </c>
      <c r="M49" s="14">
        <f t="shared" si="12"/>
        <v>20.733333333333334</v>
      </c>
      <c r="O49" s="1">
        <f t="shared" si="3"/>
        <v>19.59534995528842</v>
      </c>
      <c r="P49" s="1">
        <f t="shared" si="13"/>
        <v>8.4046500447115804</v>
      </c>
      <c r="Q49" s="1">
        <f t="shared" si="4"/>
        <v>70.63814237407037</v>
      </c>
    </row>
    <row r="50" spans="3:25" x14ac:dyDescent="0.25">
      <c r="C50" s="28"/>
      <c r="D50" s="1">
        <v>44</v>
      </c>
      <c r="E50" s="5">
        <v>12</v>
      </c>
      <c r="F50" s="7">
        <f t="shared" si="5"/>
        <v>13.58181819769152</v>
      </c>
      <c r="G50" s="10">
        <f t="shared" si="9"/>
        <v>2.4235447729961335E-2</v>
      </c>
      <c r="H50" s="7">
        <f t="shared" si="6"/>
        <v>0.88353413551358095</v>
      </c>
      <c r="I50" s="16">
        <f t="shared" si="10"/>
        <v>12.021412845358919</v>
      </c>
      <c r="J50" s="9">
        <f t="shared" si="7"/>
        <v>-2.1412845358918631E-2</v>
      </c>
      <c r="K50" s="9">
        <f t="shared" si="11"/>
        <v>2.1412845358918631E-2</v>
      </c>
      <c r="M50" s="14">
        <f t="shared" si="12"/>
        <v>20</v>
      </c>
      <c r="O50" s="1">
        <f t="shared" si="3"/>
        <v>19.638468633785994</v>
      </c>
      <c r="P50" s="1">
        <f t="shared" si="13"/>
        <v>-7.6384686337859939</v>
      </c>
      <c r="Q50" s="1">
        <f t="shared" si="4"/>
        <v>58.346203069332468</v>
      </c>
    </row>
    <row r="51" spans="3:25" x14ac:dyDescent="0.25">
      <c r="C51" s="28"/>
      <c r="D51" s="1">
        <v>45</v>
      </c>
      <c r="E51" s="5">
        <v>12</v>
      </c>
      <c r="F51" s="7">
        <f t="shared" si="5"/>
        <v>13.737931410614893</v>
      </c>
      <c r="G51" s="10">
        <f t="shared" si="9"/>
        <v>2.4578344959995984E-2</v>
      </c>
      <c r="H51" s="7">
        <f t="shared" si="6"/>
        <v>0.87349395198813962</v>
      </c>
      <c r="I51" s="16">
        <f t="shared" si="10"/>
        <v>12.021469035672435</v>
      </c>
      <c r="J51" s="9">
        <f t="shared" si="7"/>
        <v>-2.146903567243541E-2</v>
      </c>
      <c r="K51" s="9">
        <f t="shared" si="11"/>
        <v>2.146903567243541E-2</v>
      </c>
      <c r="M51" s="14">
        <f t="shared" si="12"/>
        <v>20.533333333333335</v>
      </c>
      <c r="O51" s="1">
        <f t="shared" si="3"/>
        <v>19.681587312283568</v>
      </c>
      <c r="P51" s="1">
        <f t="shared" si="13"/>
        <v>-7.6815873122835683</v>
      </c>
      <c r="Q51" s="1">
        <f t="shared" si="4"/>
        <v>59.006783636235895</v>
      </c>
    </row>
    <row r="52" spans="3:25" x14ac:dyDescent="0.25">
      <c r="C52" s="28"/>
      <c r="D52" s="1">
        <v>46</v>
      </c>
      <c r="E52" s="5">
        <v>18</v>
      </c>
      <c r="F52" s="7">
        <f t="shared" si="5"/>
        <v>16.447707001615424</v>
      </c>
      <c r="G52" s="10">
        <f>$P$3*(F52-F51)+(1-$P$3)*G51</f>
        <v>3.156016404385447E-2</v>
      </c>
      <c r="H52" s="7">
        <f t="shared" si="6"/>
        <v>1.0943774714756358</v>
      </c>
      <c r="I52" s="16">
        <f t="shared" si="10"/>
        <v>18.034538732525665</v>
      </c>
      <c r="J52" s="9">
        <f t="shared" si="7"/>
        <v>-3.4538732525664528E-2</v>
      </c>
      <c r="K52" s="9">
        <f t="shared" si="11"/>
        <v>3.4538732525664528E-2</v>
      </c>
      <c r="M52" s="14">
        <f t="shared" si="12"/>
        <v>20.533333333333335</v>
      </c>
      <c r="O52" s="1">
        <f t="shared" si="3"/>
        <v>19.724705990781143</v>
      </c>
      <c r="P52" s="1">
        <f t="shared" si="13"/>
        <v>-1.7247059907811426</v>
      </c>
      <c r="Q52" s="1">
        <f t="shared" si="4"/>
        <v>2.9746107546363629</v>
      </c>
    </row>
    <row r="53" spans="3:25" x14ac:dyDescent="0.25">
      <c r="C53" s="28"/>
      <c r="D53" s="1">
        <v>47</v>
      </c>
      <c r="E53" s="5">
        <v>8</v>
      </c>
      <c r="F53" s="7">
        <f t="shared" si="5"/>
        <v>3.9445541979729355</v>
      </c>
      <c r="G53" s="10">
        <f t="shared" si="9"/>
        <v>-1.0315192440404977E-3</v>
      </c>
      <c r="H53" s="7">
        <f t="shared" si="6"/>
        <v>2.0281125821800381</v>
      </c>
      <c r="I53" s="16">
        <f t="shared" si="10"/>
        <v>7.9979079628424037</v>
      </c>
      <c r="J53" s="9">
        <f t="shared" si="7"/>
        <v>2.0920371575963159E-3</v>
      </c>
      <c r="K53" s="9">
        <f t="shared" si="11"/>
        <v>2.0920371575963159E-3</v>
      </c>
      <c r="M53" s="14">
        <f t="shared" si="12"/>
        <v>22.533333333333335</v>
      </c>
      <c r="O53" s="1">
        <f t="shared" si="3"/>
        <v>19.767824669278717</v>
      </c>
      <c r="P53" s="1">
        <f t="shared" si="13"/>
        <v>-11.767824669278717</v>
      </c>
      <c r="Q53" s="1">
        <f t="shared" si="4"/>
        <v>138.48169744688474</v>
      </c>
    </row>
    <row r="54" spans="3:25" x14ac:dyDescent="0.25">
      <c r="C54" s="28"/>
      <c r="D54" s="1">
        <v>48</v>
      </c>
      <c r="E54" s="5">
        <v>14</v>
      </c>
      <c r="F54" s="7">
        <f t="shared" ref="F54:F85" si="14">$P$2*(E54/H39)+(1-$P$2)*(F53+G53)</f>
        <v>8.2508875231719365</v>
      </c>
      <c r="G54" s="10">
        <f t="shared" si="9"/>
        <v>1.0168120602312737E-2</v>
      </c>
      <c r="H54" s="7">
        <f t="shared" ref="H54:H85" si="15">$P$4*(E54/F54)+(1-$P$4)*H39</f>
        <v>1.6967871590398191</v>
      </c>
      <c r="I54" s="16">
        <f t="shared" si="10"/>
        <v>14.017253136469568</v>
      </c>
      <c r="J54" s="9">
        <f t="shared" ref="J54:J85" si="16">E54-I54</f>
        <v>-1.7253136469568275E-2</v>
      </c>
      <c r="K54" s="9">
        <f t="shared" si="11"/>
        <v>1.7253136469568275E-2</v>
      </c>
      <c r="M54" s="14">
        <f t="shared" si="12"/>
        <v>23.466666666666665</v>
      </c>
      <c r="O54" s="1">
        <f t="shared" si="3"/>
        <v>19.810943347776295</v>
      </c>
      <c r="P54" s="1">
        <f t="shared" si="13"/>
        <v>-5.8109433477762948</v>
      </c>
      <c r="Q54" s="1">
        <f t="shared" si="4"/>
        <v>33.767062591065574</v>
      </c>
    </row>
    <row r="55" spans="3:25" x14ac:dyDescent="0.25">
      <c r="C55" s="28"/>
      <c r="D55" s="1">
        <v>49</v>
      </c>
      <c r="E55" s="5">
        <v>20</v>
      </c>
      <c r="F55" s="7">
        <f t="shared" si="14"/>
        <v>51.076921549541979</v>
      </c>
      <c r="G55" s="10">
        <f t="shared" si="9"/>
        <v>0.12149425506547248</v>
      </c>
      <c r="H55" s="7">
        <f t="shared" si="15"/>
        <v>0.39156627676946099</v>
      </c>
      <c r="I55" s="16">
        <f t="shared" si="10"/>
        <v>20.047573053104863</v>
      </c>
      <c r="J55" s="9">
        <f t="shared" si="16"/>
        <v>-4.7573053104862595E-2</v>
      </c>
      <c r="K55" s="9">
        <f t="shared" si="11"/>
        <v>4.7573053104862595E-2</v>
      </c>
      <c r="M55" s="14">
        <f t="shared" si="12"/>
        <v>23.066666666666666</v>
      </c>
      <c r="O55" s="1">
        <f t="shared" si="3"/>
        <v>19.854062026273869</v>
      </c>
      <c r="P55" s="1">
        <f t="shared" si="13"/>
        <v>0.14593797372613082</v>
      </c>
      <c r="Q55" s="1">
        <f t="shared" si="4"/>
        <v>2.1297892175288848E-2</v>
      </c>
    </row>
    <row r="56" spans="3:25" x14ac:dyDescent="0.25">
      <c r="C56" s="28"/>
      <c r="D56" s="1">
        <v>50</v>
      </c>
      <c r="E56" s="5">
        <v>22</v>
      </c>
      <c r="F56" s="7">
        <f t="shared" si="14"/>
        <v>35.921310634972919</v>
      </c>
      <c r="G56" s="10">
        <f t="shared" si="9"/>
        <v>8.177203928532964E-2</v>
      </c>
      <c r="H56" s="7">
        <f t="shared" si="15"/>
        <v>0.61244981352603667</v>
      </c>
      <c r="I56" s="16">
        <f t="shared" si="10"/>
        <v>22.050081270211948</v>
      </c>
      <c r="J56" s="9">
        <f t="shared" si="16"/>
        <v>-5.0081270211947526E-2</v>
      </c>
      <c r="K56" s="9">
        <f t="shared" si="11"/>
        <v>5.0081270211947526E-2</v>
      </c>
      <c r="M56" s="14">
        <f t="shared" si="12"/>
        <v>22.666666666666668</v>
      </c>
      <c r="O56" s="1">
        <f t="shared" si="3"/>
        <v>19.897180704771444</v>
      </c>
      <c r="P56" s="1">
        <f t="shared" si="13"/>
        <v>2.1028192952285565</v>
      </c>
      <c r="Q56" s="1">
        <f t="shared" si="4"/>
        <v>4.4218489883855234</v>
      </c>
    </row>
    <row r="57" spans="3:25" x14ac:dyDescent="0.25">
      <c r="C57" s="28"/>
      <c r="D57" s="1">
        <v>51</v>
      </c>
      <c r="E57" s="5">
        <v>68</v>
      </c>
      <c r="F57" s="7">
        <f t="shared" si="14"/>
        <v>105.82500529467399</v>
      </c>
      <c r="G57" s="10">
        <f t="shared" si="9"/>
        <v>0.26331700122126556</v>
      </c>
      <c r="H57" s="7">
        <f t="shared" si="15"/>
        <v>0.6425702489751951</v>
      </c>
      <c r="I57" s="16">
        <f t="shared" si="10"/>
        <v>68.169199671034136</v>
      </c>
      <c r="J57" s="9">
        <f t="shared" si="16"/>
        <v>-0.16919967103413569</v>
      </c>
      <c r="K57" s="9">
        <f t="shared" si="11"/>
        <v>0.16919967103413569</v>
      </c>
      <c r="M57" s="14">
        <f t="shared" si="12"/>
        <v>22.866666666666667</v>
      </c>
      <c r="O57" s="1">
        <f t="shared" si="3"/>
        <v>19.940299383269018</v>
      </c>
      <c r="P57" s="1">
        <f t="shared" si="13"/>
        <v>48.059700616730979</v>
      </c>
      <c r="Q57" s="1">
        <f t="shared" si="4"/>
        <v>2309.7348233698121</v>
      </c>
    </row>
    <row r="58" spans="3:25" x14ac:dyDescent="0.25">
      <c r="C58" s="28"/>
      <c r="D58" s="1">
        <v>52</v>
      </c>
      <c r="E58" s="12">
        <v>17</v>
      </c>
      <c r="F58" s="7">
        <f t="shared" si="14"/>
        <v>18.206451646935992</v>
      </c>
      <c r="G58" s="10">
        <f t="shared" si="9"/>
        <v>3.4814114691482462E-2</v>
      </c>
      <c r="H58" s="7">
        <f t="shared" si="15"/>
        <v>0.93373493801363383</v>
      </c>
      <c r="I58" s="16">
        <f t="shared" si="10"/>
        <v>17.032507155223456</v>
      </c>
      <c r="J58" s="9">
        <f t="shared" si="16"/>
        <v>-3.2507155223456152E-2</v>
      </c>
      <c r="K58" s="9">
        <f t="shared" si="11"/>
        <v>3.2507155223456152E-2</v>
      </c>
      <c r="M58" s="14">
        <f t="shared" si="12"/>
        <v>19.066666666666666</v>
      </c>
      <c r="O58" s="1">
        <f t="shared" si="3"/>
        <v>19.983418061766592</v>
      </c>
      <c r="P58" s="1">
        <f t="shared" si="13"/>
        <v>-2.9834180617665922</v>
      </c>
      <c r="Q58" s="1">
        <f t="shared" si="4"/>
        <v>8.9007833312751305</v>
      </c>
    </row>
    <row r="59" spans="3:25" x14ac:dyDescent="0.25">
      <c r="C59" s="29" t="s">
        <v>23</v>
      </c>
      <c r="D59" s="1">
        <v>53</v>
      </c>
      <c r="E59" s="12">
        <v>37</v>
      </c>
      <c r="F59" s="7">
        <f t="shared" si="14"/>
        <v>36.129412683868786</v>
      </c>
      <c r="G59" s="10">
        <f t="shared" si="9"/>
        <v>8.1325336815193605E-2</v>
      </c>
      <c r="H59" s="7">
        <f t="shared" si="15"/>
        <v>1.0240963594882879</v>
      </c>
      <c r="I59" s="16">
        <f t="shared" si="10"/>
        <v>37.083284981366582</v>
      </c>
      <c r="J59" s="9">
        <f t="shared" si="16"/>
        <v>-8.328498136658169E-2</v>
      </c>
      <c r="K59" s="9">
        <f t="shared" si="11"/>
        <v>8.328498136658169E-2</v>
      </c>
      <c r="M59" s="14">
        <f t="shared" si="12"/>
        <v>19.533333333333335</v>
      </c>
      <c r="O59" s="1">
        <f t="shared" si="3"/>
        <v>20.026536740264167</v>
      </c>
      <c r="P59" s="1">
        <f t="shared" si="13"/>
        <v>16.973463259735833</v>
      </c>
      <c r="Q59" s="1">
        <f t="shared" si="4"/>
        <v>288.09845502960218</v>
      </c>
    </row>
    <row r="60" spans="3:25" x14ac:dyDescent="0.25">
      <c r="C60" s="29"/>
      <c r="D60" s="1">
        <v>54</v>
      </c>
      <c r="E60" s="12">
        <v>15</v>
      </c>
      <c r="F60" s="7">
        <f t="shared" si="14"/>
        <v>7.7010311282183865</v>
      </c>
      <c r="G60" s="10">
        <f t="shared" si="9"/>
        <v>7.1968473902408736E-3</v>
      </c>
      <c r="H60" s="7">
        <f t="shared" si="15"/>
        <v>1.9477911139764748</v>
      </c>
      <c r="I60" s="16">
        <f t="shared" si="10"/>
        <v>15.014017955395362</v>
      </c>
      <c r="J60" s="9">
        <f t="shared" si="16"/>
        <v>-1.4017955395361881E-2</v>
      </c>
      <c r="K60" s="9">
        <f t="shared" si="11"/>
        <v>1.4017955395361881E-2</v>
      </c>
      <c r="M60" s="14">
        <f t="shared" si="12"/>
        <v>18.466666666666665</v>
      </c>
      <c r="O60" s="1">
        <f t="shared" si="3"/>
        <v>20.069655418761741</v>
      </c>
      <c r="P60" s="1">
        <f t="shared" si="13"/>
        <v>-5.0696554187617409</v>
      </c>
      <c r="Q60" s="1">
        <f t="shared" si="4"/>
        <v>25.701406064980283</v>
      </c>
    </row>
    <row r="61" spans="3:25" x14ac:dyDescent="0.25">
      <c r="C61" s="29"/>
      <c r="D61" s="1">
        <v>55</v>
      </c>
      <c r="E61" s="12">
        <v>8</v>
      </c>
      <c r="F61" s="7">
        <f t="shared" si="14"/>
        <v>20.430768619816789</v>
      </c>
      <c r="G61" s="10">
        <f t="shared" si="9"/>
        <v>4.0276904058657713E-2</v>
      </c>
      <c r="H61" s="7">
        <f t="shared" si="15"/>
        <v>0.39156627676946104</v>
      </c>
      <c r="I61" s="16">
        <f t="shared" si="10"/>
        <v>8.0157710773620465</v>
      </c>
      <c r="J61" s="9">
        <f t="shared" si="16"/>
        <v>-1.5771077362046526E-2</v>
      </c>
      <c r="K61" s="9">
        <f t="shared" si="11"/>
        <v>1.5771077362046526E-2</v>
      </c>
      <c r="M61" s="14">
        <f t="shared" si="12"/>
        <v>19.8</v>
      </c>
      <c r="O61" s="1">
        <f t="shared" si="3"/>
        <v>20.112774097259319</v>
      </c>
      <c r="P61" s="1">
        <f t="shared" si="13"/>
        <v>-12.112774097259319</v>
      </c>
      <c r="Q61" s="1">
        <f t="shared" si="4"/>
        <v>146.71929633123631</v>
      </c>
      <c r="W61" s="1" t="s">
        <v>12</v>
      </c>
      <c r="Y61" s="1" t="s">
        <v>14</v>
      </c>
    </row>
    <row r="62" spans="3:25" x14ac:dyDescent="0.25">
      <c r="C62" s="29"/>
      <c r="D62" s="1">
        <v>56</v>
      </c>
      <c r="E62" s="12">
        <v>10</v>
      </c>
      <c r="F62" s="7">
        <f t="shared" si="14"/>
        <v>7.1654675503094536</v>
      </c>
      <c r="G62" s="10">
        <f t="shared" si="9"/>
        <v>5.6808838390660782E-3</v>
      </c>
      <c r="H62" s="7">
        <f t="shared" si="15"/>
        <v>1.3955823440395221</v>
      </c>
      <c r="I62" s="16">
        <f t="shared" si="10"/>
        <v>10.007928141184342</v>
      </c>
      <c r="J62" s="9">
        <f t="shared" si="16"/>
        <v>-7.9281411843421523E-3</v>
      </c>
      <c r="K62" s="9">
        <f t="shared" si="11"/>
        <v>7.9281411843421523E-3</v>
      </c>
      <c r="M62" s="14">
        <f t="shared" si="12"/>
        <v>21.266666666666666</v>
      </c>
      <c r="O62" s="1">
        <f t="shared" si="3"/>
        <v>20.155892775756893</v>
      </c>
      <c r="P62" s="1">
        <f t="shared" si="13"/>
        <v>-10.155892775756893</v>
      </c>
      <c r="Q62" s="1">
        <f t="shared" si="4"/>
        <v>103.14215807267105</v>
      </c>
      <c r="W62" s="22">
        <f>AVERAGE(E85:E110)</f>
        <v>20.653846153846153</v>
      </c>
      <c r="Y62" s="22">
        <f>AVERAGE(E59:E84)</f>
        <v>20.653846153846153</v>
      </c>
    </row>
    <row r="63" spans="3:25" x14ac:dyDescent="0.25">
      <c r="C63" s="29"/>
      <c r="D63" s="1">
        <v>57</v>
      </c>
      <c r="E63" s="12">
        <v>22</v>
      </c>
      <c r="F63" s="7">
        <f t="shared" si="14"/>
        <v>21.482353487705769</v>
      </c>
      <c r="G63" s="10">
        <f t="shared" si="9"/>
        <v>4.2891649157432418E-2</v>
      </c>
      <c r="H63" s="7">
        <f t="shared" si="15"/>
        <v>1.0240963594882877</v>
      </c>
      <c r="I63" s="16">
        <f t="shared" si="10"/>
        <v>22.043925181754574</v>
      </c>
      <c r="J63" s="9">
        <f t="shared" si="16"/>
        <v>-4.3925181754573828E-2</v>
      </c>
      <c r="K63" s="9">
        <f t="shared" si="11"/>
        <v>4.3925181754573828E-2</v>
      </c>
      <c r="M63" s="14">
        <f t="shared" si="12"/>
        <v>20.733333333333334</v>
      </c>
      <c r="O63" s="1">
        <f t="shared" si="3"/>
        <v>20.199011454254467</v>
      </c>
      <c r="P63" s="1">
        <f t="shared" si="13"/>
        <v>1.8009885457455326</v>
      </c>
      <c r="Q63" s="1">
        <f t="shared" si="4"/>
        <v>3.2435597419066085</v>
      </c>
      <c r="V63" s="1" t="s">
        <v>13</v>
      </c>
      <c r="W63" s="1">
        <f>W62/Y62</f>
        <v>1</v>
      </c>
    </row>
    <row r="64" spans="3:25" x14ac:dyDescent="0.25">
      <c r="C64" s="29"/>
      <c r="D64" s="1">
        <v>58</v>
      </c>
      <c r="E64" s="12">
        <v>17</v>
      </c>
      <c r="F64" s="7">
        <f t="shared" si="14"/>
        <v>282.19997704118663</v>
      </c>
      <c r="G64" s="10">
        <f t="shared" si="9"/>
        <v>0.72067568181014019</v>
      </c>
      <c r="H64" s="7">
        <f t="shared" si="15"/>
        <v>6.0240968756417997E-2</v>
      </c>
      <c r="I64" s="16">
        <f t="shared" si="10"/>
        <v>17.043414201231428</v>
      </c>
      <c r="J64" s="9">
        <f t="shared" si="16"/>
        <v>-4.3414201231428251E-2</v>
      </c>
      <c r="K64" s="9">
        <f t="shared" si="11"/>
        <v>4.3414201231428251E-2</v>
      </c>
      <c r="M64" s="14">
        <f t="shared" si="12"/>
        <v>21.4</v>
      </c>
      <c r="O64" s="1">
        <f t="shared" si="3"/>
        <v>20.242130132752042</v>
      </c>
      <c r="P64" s="1">
        <f t="shared" si="13"/>
        <v>-3.2421301327520418</v>
      </c>
      <c r="Q64" s="1">
        <f t="shared" si="4"/>
        <v>10.511407797698771</v>
      </c>
    </row>
    <row r="65" spans="3:17" x14ac:dyDescent="0.25">
      <c r="C65" s="29"/>
      <c r="D65" s="1">
        <v>59</v>
      </c>
      <c r="E65" s="12">
        <v>20</v>
      </c>
      <c r="F65" s="7">
        <f t="shared" si="14"/>
        <v>22.636363662819228</v>
      </c>
      <c r="G65" s="10">
        <f t="shared" si="9"/>
        <v>4.3906845081841173E-2</v>
      </c>
      <c r="H65" s="7">
        <f t="shared" si="15"/>
        <v>0.88353413551357995</v>
      </c>
      <c r="I65" s="16">
        <f t="shared" si="10"/>
        <v>20.038793196412538</v>
      </c>
      <c r="J65" s="9">
        <f t="shared" si="16"/>
        <v>-3.8793196412537867E-2</v>
      </c>
      <c r="K65" s="9">
        <f t="shared" si="11"/>
        <v>3.8793196412537867E-2</v>
      </c>
      <c r="M65" s="14">
        <f t="shared" si="12"/>
        <v>21.733333333333334</v>
      </c>
      <c r="O65" s="1">
        <f t="shared" si="3"/>
        <v>20.285248811249616</v>
      </c>
      <c r="P65" s="1">
        <f t="shared" si="13"/>
        <v>-0.2852488112496161</v>
      </c>
      <c r="Q65" s="1">
        <f t="shared" si="4"/>
        <v>8.1366884319319113E-2</v>
      </c>
    </row>
    <row r="66" spans="3:17" x14ac:dyDescent="0.25">
      <c r="C66" s="29"/>
      <c r="D66" s="1">
        <v>60</v>
      </c>
      <c r="E66" s="12">
        <v>12</v>
      </c>
      <c r="F66" s="7">
        <f t="shared" si="14"/>
        <v>13.737931410614893</v>
      </c>
      <c r="G66" s="10">
        <f t="shared" si="9"/>
        <v>2.065574356375777E-2</v>
      </c>
      <c r="H66" s="7">
        <f t="shared" si="15"/>
        <v>0.87349395198813962</v>
      </c>
      <c r="I66" s="16">
        <f t="shared" si="10"/>
        <v>12.018042667076761</v>
      </c>
      <c r="J66" s="9">
        <f t="shared" si="16"/>
        <v>-1.8042667076761276E-2</v>
      </c>
      <c r="K66" s="9">
        <f t="shared" si="11"/>
        <v>1.8042667076761276E-2</v>
      </c>
      <c r="M66" s="14">
        <f t="shared" si="12"/>
        <v>21.866666666666667</v>
      </c>
      <c r="O66" s="1">
        <f t="shared" si="3"/>
        <v>20.328367489747194</v>
      </c>
      <c r="P66" s="1">
        <f t="shared" si="13"/>
        <v>-8.328367489747194</v>
      </c>
      <c r="Q66" s="1">
        <f t="shared" si="4"/>
        <v>69.361705044277983</v>
      </c>
    </row>
    <row r="67" spans="3:17" x14ac:dyDescent="0.25">
      <c r="C67" s="29"/>
      <c r="D67" s="1">
        <v>61</v>
      </c>
      <c r="E67" s="12">
        <v>48</v>
      </c>
      <c r="F67" s="7">
        <f t="shared" si="14"/>
        <v>43.860552004307792</v>
      </c>
      <c r="G67" s="10">
        <f t="shared" si="9"/>
        <v>9.8924285274118312E-2</v>
      </c>
      <c r="H67" s="7">
        <f t="shared" si="15"/>
        <v>1.094377471475636</v>
      </c>
      <c r="I67" s="16">
        <f t="shared" si="10"/>
        <v>48.108260509185811</v>
      </c>
      <c r="J67" s="9">
        <f t="shared" si="16"/>
        <v>-0.10826050918581132</v>
      </c>
      <c r="K67" s="9">
        <f t="shared" si="11"/>
        <v>0.10826050918581132</v>
      </c>
      <c r="M67" s="14">
        <f t="shared" si="12"/>
        <v>22.133333333333333</v>
      </c>
      <c r="O67" s="1">
        <f t="shared" si="3"/>
        <v>20.371486168244768</v>
      </c>
      <c r="P67" s="1">
        <f t="shared" si="13"/>
        <v>27.628513831755232</v>
      </c>
      <c r="Q67" s="1">
        <f t="shared" si="4"/>
        <v>763.33477655149011</v>
      </c>
    </row>
    <row r="68" spans="3:17" x14ac:dyDescent="0.25">
      <c r="C68" s="29"/>
      <c r="D68" s="1">
        <v>62</v>
      </c>
      <c r="E68" s="12">
        <v>22</v>
      </c>
      <c r="F68" s="7">
        <f t="shared" si="14"/>
        <v>10.847524044425578</v>
      </c>
      <c r="G68" s="10">
        <f t="shared" si="9"/>
        <v>1.2829433050531094E-2</v>
      </c>
      <c r="H68" s="7">
        <f t="shared" si="15"/>
        <v>2.0281125821800372</v>
      </c>
      <c r="I68" s="16">
        <f t="shared" si="10"/>
        <v>22.026019534592027</v>
      </c>
      <c r="J68" s="9">
        <f t="shared" si="16"/>
        <v>-2.6019534592027327E-2</v>
      </c>
      <c r="K68" s="9">
        <f t="shared" si="11"/>
        <v>2.6019534592027327E-2</v>
      </c>
      <c r="M68" s="14">
        <f t="shared" si="12"/>
        <v>19.066666666666666</v>
      </c>
      <c r="O68" s="1">
        <f t="shared" si="3"/>
        <v>20.414604846742343</v>
      </c>
      <c r="P68" s="1">
        <f t="shared" si="13"/>
        <v>1.5853951532576573</v>
      </c>
      <c r="Q68" s="1">
        <f t="shared" si="4"/>
        <v>2.5134777919728708</v>
      </c>
    </row>
    <row r="69" spans="3:17" x14ac:dyDescent="0.25">
      <c r="C69" s="29"/>
      <c r="D69" s="1">
        <v>63</v>
      </c>
      <c r="E69" s="12">
        <v>8</v>
      </c>
      <c r="F69" s="7">
        <f t="shared" si="14"/>
        <v>4.7147928703839641</v>
      </c>
      <c r="G69" s="10">
        <f t="shared" si="9"/>
        <v>-3.1497254231615847E-3</v>
      </c>
      <c r="H69" s="7">
        <f t="shared" si="15"/>
        <v>1.6967871590398189</v>
      </c>
      <c r="I69" s="16">
        <f t="shared" si="10"/>
        <v>7.9946555863474797</v>
      </c>
      <c r="J69" s="9">
        <f t="shared" si="16"/>
        <v>5.3444136525202524E-3</v>
      </c>
      <c r="K69" s="9">
        <f t="shared" si="11"/>
        <v>5.3444136525202524E-3</v>
      </c>
      <c r="M69" s="14">
        <f>AVERAGE(E69:E83)</f>
        <v>20.933333333333334</v>
      </c>
      <c r="O69" s="1">
        <f t="shared" si="3"/>
        <v>20.457723525239917</v>
      </c>
      <c r="P69" s="1">
        <f t="shared" si="13"/>
        <v>-12.457723525239917</v>
      </c>
      <c r="Q69" s="1">
        <f t="shared" si="4"/>
        <v>155.19487543131606</v>
      </c>
    </row>
    <row r="70" spans="3:17" x14ac:dyDescent="0.25">
      <c r="C70" s="29"/>
      <c r="D70" s="1">
        <v>64</v>
      </c>
      <c r="E70" s="12">
        <v>14</v>
      </c>
      <c r="F70" s="7">
        <f t="shared" si="14"/>
        <v>35.753845084679376</v>
      </c>
      <c r="G70" s="10">
        <f t="shared" si="9"/>
        <v>7.7563539953263663E-2</v>
      </c>
      <c r="H70" s="7">
        <f t="shared" si="15"/>
        <v>0.3915662767694611</v>
      </c>
      <c r="I70" s="16">
        <f t="shared" si="10"/>
        <v>14.030371266552555</v>
      </c>
      <c r="J70" s="9">
        <f t="shared" si="16"/>
        <v>-3.0371266552554843E-2</v>
      </c>
      <c r="K70" s="9">
        <f t="shared" si="11"/>
        <v>3.0371266552554843E-2</v>
      </c>
      <c r="M70" s="14">
        <f>AVERAGE(E70:E84)</f>
        <v>21.2</v>
      </c>
      <c r="O70" s="1">
        <f t="shared" si="3"/>
        <v>20.500842203737491</v>
      </c>
      <c r="P70" s="1">
        <f t="shared" si="13"/>
        <v>-6.5008422037374913</v>
      </c>
      <c r="Q70" s="1">
        <f t="shared" si="4"/>
        <v>42.260949357894525</v>
      </c>
    </row>
    <row r="71" spans="3:17" x14ac:dyDescent="0.25">
      <c r="C71" s="29"/>
      <c r="D71" s="1">
        <v>65</v>
      </c>
      <c r="E71" s="12">
        <v>25</v>
      </c>
      <c r="F71" s="7">
        <f t="shared" si="14"/>
        <v>40.819671176105587</v>
      </c>
      <c r="G71" s="10">
        <f t="shared" si="9"/>
        <v>9.0533591493620669E-2</v>
      </c>
      <c r="H71" s="7">
        <f t="shared" si="15"/>
        <v>0.61244981352603667</v>
      </c>
      <c r="I71" s="16">
        <f t="shared" si="10"/>
        <v>25.055447281228108</v>
      </c>
      <c r="J71" s="9">
        <f t="shared" si="16"/>
        <v>-5.544728122810838E-2</v>
      </c>
      <c r="K71" s="9">
        <f t="shared" si="11"/>
        <v>5.544728122810838E-2</v>
      </c>
    </row>
    <row r="72" spans="3:17" x14ac:dyDescent="0.25">
      <c r="C72" s="29"/>
      <c r="D72" s="1">
        <v>66</v>
      </c>
      <c r="E72" s="12">
        <v>11</v>
      </c>
      <c r="F72" s="7">
        <f t="shared" si="14"/>
        <v>17.118750856491378</v>
      </c>
      <c r="G72" s="10">
        <f t="shared" si="9"/>
        <v>2.8673097932394719E-2</v>
      </c>
      <c r="H72" s="7">
        <f t="shared" si="15"/>
        <v>0.64257024897519521</v>
      </c>
      <c r="I72" s="16">
        <f t="shared" si="10"/>
        <v>11.018424479677307</v>
      </c>
      <c r="J72" s="9">
        <f t="shared" si="16"/>
        <v>-1.8424479677307204E-2</v>
      </c>
      <c r="K72" s="9">
        <f t="shared" si="11"/>
        <v>1.8424479677307204E-2</v>
      </c>
    </row>
    <row r="73" spans="3:17" x14ac:dyDescent="0.25">
      <c r="C73" s="29"/>
      <c r="D73" s="1">
        <v>67</v>
      </c>
      <c r="E73" s="12">
        <v>24</v>
      </c>
      <c r="F73" s="7">
        <f t="shared" si="14"/>
        <v>25.70322585449787</v>
      </c>
      <c r="G73" s="10">
        <f t="shared" si="9"/>
        <v>5.0919158653532616E-2</v>
      </c>
      <c r="H73" s="7">
        <f t="shared" si="15"/>
        <v>0.93373493801363383</v>
      </c>
      <c r="I73" s="16">
        <f t="shared" si="10"/>
        <v>24.047544997449059</v>
      </c>
      <c r="J73" s="9">
        <f t="shared" si="16"/>
        <v>-4.7544997449058712E-2</v>
      </c>
      <c r="K73" s="9">
        <f t="shared" si="11"/>
        <v>4.7544997449058712E-2</v>
      </c>
    </row>
    <row r="74" spans="3:17" x14ac:dyDescent="0.25">
      <c r="C74" s="29"/>
      <c r="D74" s="1">
        <v>68</v>
      </c>
      <c r="E74" s="12">
        <v>21</v>
      </c>
      <c r="F74" s="7">
        <f t="shared" si="14"/>
        <v>20.505882874628231</v>
      </c>
      <c r="G74" s="10">
        <f t="shared" si="9"/>
        <v>3.7273078534143182E-2</v>
      </c>
      <c r="H74" s="7">
        <f t="shared" si="15"/>
        <v>1.0240963594882879</v>
      </c>
      <c r="I74" s="16">
        <f t="shared" si="10"/>
        <v>21.038171224033736</v>
      </c>
      <c r="J74" s="9">
        <f t="shared" si="16"/>
        <v>-3.817122403373574E-2</v>
      </c>
      <c r="K74" s="9">
        <f t="shared" si="11"/>
        <v>3.817122403373574E-2</v>
      </c>
    </row>
    <row r="75" spans="3:17" x14ac:dyDescent="0.25">
      <c r="C75" s="29"/>
      <c r="D75" s="1">
        <v>69</v>
      </c>
      <c r="E75" s="12">
        <v>35</v>
      </c>
      <c r="F75" s="7">
        <f t="shared" si="14"/>
        <v>17.969072632509569</v>
      </c>
      <c r="G75" s="10">
        <f t="shared" si="9"/>
        <v>3.0580168328728698E-2</v>
      </c>
      <c r="H75" s="7">
        <f t="shared" si="15"/>
        <v>1.9477911139764748</v>
      </c>
      <c r="I75" s="16">
        <f t="shared" si="10"/>
        <v>35.059563780134603</v>
      </c>
      <c r="J75" s="9">
        <f t="shared" si="16"/>
        <v>-5.9563780134602951E-2</v>
      </c>
      <c r="K75" s="9">
        <f t="shared" si="11"/>
        <v>5.9563780134602951E-2</v>
      </c>
    </row>
    <row r="76" spans="3:17" x14ac:dyDescent="0.25">
      <c r="C76" s="29"/>
      <c r="D76" s="1">
        <v>70</v>
      </c>
      <c r="E76" s="12">
        <v>30</v>
      </c>
      <c r="F76" s="7">
        <f t="shared" si="14"/>
        <v>76.615382324312947</v>
      </c>
      <c r="G76" s="10">
        <f t="shared" si="9"/>
        <v>0.18298775015711574</v>
      </c>
      <c r="H76" s="7">
        <f t="shared" si="15"/>
        <v>0.3915662767694611</v>
      </c>
      <c r="I76" s="16">
        <f t="shared" si="10"/>
        <v>30.071651832023438</v>
      </c>
      <c r="J76" s="9">
        <f t="shared" si="16"/>
        <v>-7.1651832023437834E-2</v>
      </c>
      <c r="K76" s="9">
        <f t="shared" si="11"/>
        <v>7.1651832023437834E-2</v>
      </c>
    </row>
    <row r="77" spans="3:17" x14ac:dyDescent="0.25">
      <c r="C77" s="29"/>
      <c r="D77" s="1">
        <v>71</v>
      </c>
      <c r="E77" s="12">
        <v>2</v>
      </c>
      <c r="F77" s="7">
        <f t="shared" si="14"/>
        <v>1.4330935100618991</v>
      </c>
      <c r="G77" s="10">
        <f t="shared" si="9"/>
        <v>-1.2970564247365146E-2</v>
      </c>
      <c r="H77" s="7">
        <f t="shared" si="15"/>
        <v>1.3955823440395141</v>
      </c>
      <c r="I77" s="16">
        <f t="shared" si="10"/>
        <v>1.9818985095441584</v>
      </c>
      <c r="J77" s="9">
        <f t="shared" si="16"/>
        <v>1.810149045584164E-2</v>
      </c>
      <c r="K77" s="9">
        <f t="shared" si="11"/>
        <v>1.810149045584164E-2</v>
      </c>
    </row>
    <row r="78" spans="3:17" x14ac:dyDescent="0.25">
      <c r="C78" s="29"/>
      <c r="D78" s="1">
        <v>72</v>
      </c>
      <c r="E78" s="12">
        <v>32</v>
      </c>
      <c r="F78" s="7">
        <f t="shared" si="14"/>
        <v>31.247059618481117</v>
      </c>
      <c r="G78" s="10">
        <f t="shared" si="9"/>
        <v>6.4582872834894681E-2</v>
      </c>
      <c r="H78" s="7">
        <f t="shared" si="15"/>
        <v>1.0240963594882879</v>
      </c>
      <c r="I78" s="16">
        <f t="shared" si="10"/>
        <v>32.066139084955509</v>
      </c>
      <c r="J78" s="9">
        <f t="shared" si="16"/>
        <v>-6.613908495550902E-2</v>
      </c>
      <c r="K78" s="9">
        <f t="shared" si="11"/>
        <v>6.613908495550902E-2</v>
      </c>
    </row>
    <row r="79" spans="3:17" x14ac:dyDescent="0.25">
      <c r="C79" s="29"/>
      <c r="D79" s="1">
        <v>73</v>
      </c>
      <c r="E79" s="12">
        <v>22</v>
      </c>
      <c r="F79" s="7">
        <f t="shared" si="14"/>
        <v>365.19997028859439</v>
      </c>
      <c r="G79" s="10">
        <f t="shared" si="9"/>
        <v>0.93273060474920211</v>
      </c>
      <c r="H79" s="7">
        <f t="shared" si="15"/>
        <v>6.024096875641801E-2</v>
      </c>
      <c r="I79" s="16">
        <f t="shared" si="10"/>
        <v>22.056188595218849</v>
      </c>
      <c r="J79" s="9">
        <f t="shared" si="16"/>
        <v>-5.6188595218849002E-2</v>
      </c>
      <c r="K79" s="9">
        <f t="shared" si="11"/>
        <v>5.6188595218849002E-2</v>
      </c>
    </row>
    <row r="80" spans="3:17" x14ac:dyDescent="0.25">
      <c r="C80" s="29"/>
      <c r="D80" s="1">
        <v>74</v>
      </c>
      <c r="E80" s="12">
        <v>22</v>
      </c>
      <c r="F80" s="7">
        <f t="shared" si="14"/>
        <v>24.900000029101186</v>
      </c>
      <c r="G80" s="10">
        <f t="shared" si="9"/>
        <v>4.5486665242131852E-2</v>
      </c>
      <c r="H80" s="7">
        <f t="shared" si="15"/>
        <v>0.88353413551357862</v>
      </c>
      <c r="I80" s="16">
        <f t="shared" si="10"/>
        <v>22.040189021452132</v>
      </c>
      <c r="J80" s="9">
        <f t="shared" si="16"/>
        <v>-4.0189021452132323E-2</v>
      </c>
      <c r="K80" s="9">
        <f t="shared" si="11"/>
        <v>4.0189021452132323E-2</v>
      </c>
    </row>
    <row r="81" spans="3:11" x14ac:dyDescent="0.25">
      <c r="C81" s="29"/>
      <c r="D81" s="1">
        <v>75</v>
      </c>
      <c r="E81" s="12">
        <v>16</v>
      </c>
      <c r="F81" s="7">
        <f t="shared" si="14"/>
        <v>18.317241880819857</v>
      </c>
      <c r="G81" s="10">
        <f t="shared" si="9"/>
        <v>2.8252472782050089E-2</v>
      </c>
      <c r="H81" s="7">
        <f t="shared" si="15"/>
        <v>0.87349395198813962</v>
      </c>
      <c r="I81" s="16">
        <f t="shared" si="10"/>
        <v>16.024678364103831</v>
      </c>
      <c r="J81" s="9">
        <f t="shared" si="16"/>
        <v>-2.4678364103831285E-2</v>
      </c>
      <c r="K81" s="9">
        <f t="shared" si="11"/>
        <v>2.4678364103831285E-2</v>
      </c>
    </row>
    <row r="82" spans="3:11" x14ac:dyDescent="0.25">
      <c r="C82" s="29"/>
      <c r="D82" s="1">
        <v>76</v>
      </c>
      <c r="E82" s="12">
        <v>2</v>
      </c>
      <c r="F82" s="7">
        <f t="shared" si="14"/>
        <v>1.8275230001794931</v>
      </c>
      <c r="G82" s="10">
        <f t="shared" si="9"/>
        <v>-1.4696136595531335E-2</v>
      </c>
      <c r="H82" s="7">
        <f t="shared" si="15"/>
        <v>1.0943774714756349</v>
      </c>
      <c r="I82" s="16">
        <f t="shared" si="10"/>
        <v>1.9839168791921238</v>
      </c>
      <c r="J82" s="9">
        <f t="shared" si="16"/>
        <v>1.6083120807876217E-2</v>
      </c>
      <c r="K82" s="9">
        <f t="shared" si="11"/>
        <v>1.6083120807876217E-2</v>
      </c>
    </row>
    <row r="83" spans="3:11" x14ac:dyDescent="0.25">
      <c r="C83" s="29"/>
      <c r="D83" s="1">
        <v>77</v>
      </c>
      <c r="E83" s="12">
        <v>50</v>
      </c>
      <c r="F83" s="7">
        <f t="shared" si="14"/>
        <v>24.653463737330856</v>
      </c>
      <c r="G83" s="10">
        <f t="shared" si="9"/>
        <v>4.469212422879118E-2</v>
      </c>
      <c r="H83" s="7">
        <f t="shared" si="15"/>
        <v>2.0281125821800376</v>
      </c>
      <c r="I83" s="16">
        <f t="shared" si="10"/>
        <v>50.090640659472761</v>
      </c>
      <c r="J83" s="9">
        <f t="shared" si="16"/>
        <v>-9.0640659472761342E-2</v>
      </c>
      <c r="K83" s="9">
        <f t="shared" si="11"/>
        <v>9.0640659472761342E-2</v>
      </c>
    </row>
    <row r="84" spans="3:11" x14ac:dyDescent="0.25">
      <c r="C84" s="29"/>
      <c r="D84" s="1">
        <v>78</v>
      </c>
      <c r="E84" s="12">
        <v>12</v>
      </c>
      <c r="F84" s="7">
        <f t="shared" si="14"/>
        <v>7.0721893055759484</v>
      </c>
      <c r="G84" s="10">
        <f t="shared" si="9"/>
        <v>-1.1373990412325494E-3</v>
      </c>
      <c r="H84" s="7">
        <f t="shared" si="15"/>
        <v>1.6967871590398185</v>
      </c>
      <c r="I84" s="16">
        <f t="shared" si="10"/>
        <v>11.998070075912135</v>
      </c>
      <c r="J84" s="9">
        <f t="shared" si="16"/>
        <v>1.9299240878645207E-3</v>
      </c>
      <c r="K84" s="9">
        <f t="shared" si="11"/>
        <v>1.9299240878645207E-3</v>
      </c>
    </row>
    <row r="85" spans="3:11" x14ac:dyDescent="0.25">
      <c r="D85" s="1">
        <v>79</v>
      </c>
      <c r="E85" s="12">
        <v>37</v>
      </c>
      <c r="F85" s="7">
        <f t="shared" si="14"/>
        <v>94.492304866652617</v>
      </c>
      <c r="G85" s="10">
        <f t="shared" si="9"/>
        <v>0.22616782896456036</v>
      </c>
      <c r="H85" s="7">
        <f t="shared" si="15"/>
        <v>0.39156627676946115</v>
      </c>
      <c r="I85" s="16">
        <f t="shared" si="10"/>
        <v>37.088559694712679</v>
      </c>
      <c r="J85" s="9">
        <f t="shared" si="16"/>
        <v>-8.8559694712678549E-2</v>
      </c>
      <c r="K85" s="9">
        <f t="shared" si="11"/>
        <v>8.8559694712678549E-2</v>
      </c>
    </row>
    <row r="86" spans="3:11" x14ac:dyDescent="0.25">
      <c r="D86" s="1">
        <v>80</v>
      </c>
      <c r="E86" s="12">
        <v>15</v>
      </c>
      <c r="F86" s="7">
        <f t="shared" ref="F86:F94" si="17">$P$2*(E86/H71)+(1-$P$2)*(F85+G85)</f>
        <v>24.491802705663357</v>
      </c>
      <c r="G86" s="10">
        <f t="shared" si="9"/>
        <v>4.3570477706778771E-2</v>
      </c>
      <c r="H86" s="7">
        <f t="shared" ref="H86:H94" si="18">$P$4*(E86/F86)+(1-$P$4)*H71</f>
        <v>0.61244981352603656</v>
      </c>
      <c r="I86" s="16">
        <f t="shared" si="10"/>
        <v>15.02668473094676</v>
      </c>
      <c r="J86" s="9">
        <f t="shared" ref="J86:J94" si="19">E86-I86</f>
        <v>-2.6684730946760382E-2</v>
      </c>
      <c r="K86" s="9">
        <f t="shared" si="11"/>
        <v>2.6684730946760382E-2</v>
      </c>
    </row>
    <row r="87" spans="3:11" x14ac:dyDescent="0.25">
      <c r="D87" s="1">
        <v>81</v>
      </c>
      <c r="E87" s="12">
        <v>8</v>
      </c>
      <c r="F87" s="7">
        <f t="shared" si="17"/>
        <v>12.45000062290282</v>
      </c>
      <c r="G87" s="10">
        <f t="shared" ref="G87:G110" si="20">$P$3*(F87-F86)+(1-$P$3)*G86</f>
        <v>1.214713072449284E-2</v>
      </c>
      <c r="H87" s="7">
        <f t="shared" si="18"/>
        <v>0.64257024897519521</v>
      </c>
      <c r="I87" s="16">
        <f t="shared" ref="I87:I110" si="21">(F87+(G87))*H72</f>
        <v>8.0078053848139721</v>
      </c>
      <c r="J87" s="9">
        <f t="shared" si="19"/>
        <v>-7.8053848139720827E-3</v>
      </c>
      <c r="K87" s="9">
        <f t="shared" si="11"/>
        <v>7.8053848139720827E-3</v>
      </c>
    </row>
    <row r="88" spans="3:11" x14ac:dyDescent="0.25">
      <c r="D88" s="1">
        <v>82</v>
      </c>
      <c r="E88" s="12">
        <v>10</v>
      </c>
      <c r="F88" s="7">
        <f t="shared" si="17"/>
        <v>10.709677439374113</v>
      </c>
      <c r="G88" s="10">
        <f t="shared" si="20"/>
        <v>7.5905080398873601E-3</v>
      </c>
      <c r="H88" s="7">
        <f t="shared" si="18"/>
        <v>0.93373493801363383</v>
      </c>
      <c r="I88" s="16">
        <f t="shared" si="21"/>
        <v>10.007087522554118</v>
      </c>
      <c r="J88" s="9">
        <f t="shared" si="19"/>
        <v>-7.0875225541175979E-3</v>
      </c>
      <c r="K88" s="9">
        <f t="shared" si="11"/>
        <v>7.0875225541175979E-3</v>
      </c>
    </row>
    <row r="89" spans="3:11" x14ac:dyDescent="0.25">
      <c r="D89" s="1">
        <v>83</v>
      </c>
      <c r="E89" s="12">
        <v>22</v>
      </c>
      <c r="F89" s="7">
        <f t="shared" si="17"/>
        <v>21.482353487705762</v>
      </c>
      <c r="G89" s="10">
        <f t="shared" si="20"/>
        <v>3.5580958192257067E-2</v>
      </c>
      <c r="H89" s="7">
        <f t="shared" si="18"/>
        <v>1.0240963594882881</v>
      </c>
      <c r="I89" s="16">
        <f t="shared" si="21"/>
        <v>22.036438329751789</v>
      </c>
      <c r="J89" s="9">
        <f t="shared" si="19"/>
        <v>-3.6438329751788956E-2</v>
      </c>
      <c r="K89" s="9">
        <f t="shared" ref="K89:K110" si="22">ABS(J89)</f>
        <v>3.6438329751788956E-2</v>
      </c>
    </row>
    <row r="90" spans="3:11" x14ac:dyDescent="0.25">
      <c r="D90" s="1">
        <v>84</v>
      </c>
      <c r="E90" s="12">
        <v>17</v>
      </c>
      <c r="F90" s="7">
        <f t="shared" si="17"/>
        <v>8.7278352786475057</v>
      </c>
      <c r="G90" s="10">
        <f t="shared" si="20"/>
        <v>2.3252416589457925E-3</v>
      </c>
      <c r="H90" s="7">
        <f t="shared" si="18"/>
        <v>1.9477911139764745</v>
      </c>
      <c r="I90" s="16">
        <f t="shared" si="21"/>
        <v>17.004529085041145</v>
      </c>
      <c r="J90" s="9">
        <f t="shared" si="19"/>
        <v>-4.5290850411454642E-3</v>
      </c>
      <c r="K90" s="9">
        <f t="shared" si="22"/>
        <v>4.5290850411454642E-3</v>
      </c>
    </row>
    <row r="91" spans="3:11" x14ac:dyDescent="0.25">
      <c r="D91" s="1">
        <v>85</v>
      </c>
      <c r="E91" s="12">
        <v>20</v>
      </c>
      <c r="F91" s="7">
        <f t="shared" si="17"/>
        <v>51.076921549541957</v>
      </c>
      <c r="G91" s="10">
        <f t="shared" si="20"/>
        <v>0.11243164994216358</v>
      </c>
      <c r="H91" s="7">
        <f t="shared" si="18"/>
        <v>0.39156627676946115</v>
      </c>
      <c r="I91" s="16">
        <f t="shared" si="21"/>
        <v>20.0440244425589</v>
      </c>
      <c r="J91" s="9">
        <f t="shared" si="19"/>
        <v>-4.4024442558900034E-2</v>
      </c>
      <c r="K91" s="9">
        <f t="shared" si="22"/>
        <v>4.4024442558900034E-2</v>
      </c>
    </row>
    <row r="92" spans="3:11" x14ac:dyDescent="0.25">
      <c r="D92" s="1">
        <v>86</v>
      </c>
      <c r="E92" s="12">
        <v>12</v>
      </c>
      <c r="F92" s="7">
        <f t="shared" si="17"/>
        <v>8.5985610603713969</v>
      </c>
      <c r="G92" s="10">
        <f t="shared" si="20"/>
        <v>1.6907329417525929E-3</v>
      </c>
      <c r="H92" s="7">
        <f t="shared" si="18"/>
        <v>1.3955823440395136</v>
      </c>
      <c r="I92" s="16">
        <f t="shared" si="21"/>
        <v>12.002359557041999</v>
      </c>
      <c r="J92" s="9">
        <f t="shared" si="19"/>
        <v>-2.3595570419985279E-3</v>
      </c>
      <c r="K92" s="9">
        <f t="shared" si="22"/>
        <v>2.3595570419985279E-3</v>
      </c>
    </row>
    <row r="93" spans="3:11" x14ac:dyDescent="0.25">
      <c r="D93" s="1">
        <v>87</v>
      </c>
      <c r="E93" s="12">
        <v>48</v>
      </c>
      <c r="F93" s="7">
        <f t="shared" si="17"/>
        <v>46.870589427721661</v>
      </c>
      <c r="G93" s="10">
        <f t="shared" si="20"/>
        <v>0.1011979754862682</v>
      </c>
      <c r="H93" s="7">
        <f t="shared" si="18"/>
        <v>1.0240963594882881</v>
      </c>
      <c r="I93" s="16">
        <f t="shared" si="21"/>
        <v>48.103636478283057</v>
      </c>
      <c r="J93" s="9">
        <f t="shared" si="19"/>
        <v>-0.10363647828305744</v>
      </c>
      <c r="K93" s="9">
        <f t="shared" si="22"/>
        <v>0.10363647828305744</v>
      </c>
    </row>
    <row r="94" spans="3:11" x14ac:dyDescent="0.25">
      <c r="D94" s="1">
        <v>88</v>
      </c>
      <c r="E94" s="12">
        <v>22</v>
      </c>
      <c r="F94" s="7">
        <f t="shared" si="17"/>
        <v>365.19997028859433</v>
      </c>
      <c r="G94" s="10">
        <f t="shared" si="20"/>
        <v>0.92862754460525065</v>
      </c>
      <c r="H94" s="7">
        <f t="shared" si="18"/>
        <v>6.0240968756418017E-2</v>
      </c>
      <c r="I94" s="16">
        <f t="shared" si="21"/>
        <v>22.055941422900911</v>
      </c>
      <c r="J94" s="9">
        <f t="shared" si="19"/>
        <v>-5.5941422900911419E-2</v>
      </c>
      <c r="K94" s="9">
        <f t="shared" si="22"/>
        <v>5.5941422900911419E-2</v>
      </c>
    </row>
    <row r="95" spans="3:11" x14ac:dyDescent="0.25">
      <c r="D95" s="1">
        <v>89</v>
      </c>
      <c r="E95" s="12">
        <v>8</v>
      </c>
      <c r="F95" s="7">
        <f t="shared" ref="F95:F110" si="23">$P$2*(E95/H80)+(1-$P$2)*(F94+G94)</f>
        <v>9.0545454651277435</v>
      </c>
      <c r="G95" s="10">
        <f t="shared" si="20"/>
        <v>1.9428449738101428E-4</v>
      </c>
      <c r="H95" s="7">
        <f t="shared" ref="H95:H110" si="24">$P$4*(E95/F95)+(1-$P$4)*H80</f>
        <v>0.88353413551357485</v>
      </c>
      <c r="I95" s="16">
        <f t="shared" si="21"/>
        <v>8.0001716569854722</v>
      </c>
      <c r="J95" s="9">
        <f t="shared" ref="J95:J110" si="25">E95-I95</f>
        <v>-1.7165698547216834E-4</v>
      </c>
      <c r="K95" s="9">
        <f t="shared" si="22"/>
        <v>1.7165698547216834E-4</v>
      </c>
    </row>
    <row r="96" spans="3:11" x14ac:dyDescent="0.25">
      <c r="D96" s="1">
        <v>90</v>
      </c>
      <c r="E96" s="12">
        <v>14</v>
      </c>
      <c r="F96" s="7">
        <f t="shared" si="23"/>
        <v>16.027586645717371</v>
      </c>
      <c r="G96" s="10">
        <f t="shared" si="20"/>
        <v>1.8324481673676393E-2</v>
      </c>
      <c r="H96" s="7">
        <f t="shared" si="24"/>
        <v>0.87349395198813984</v>
      </c>
      <c r="I96" s="16">
        <f t="shared" si="21"/>
        <v>14.016006323915271</v>
      </c>
      <c r="J96" s="9">
        <f t="shared" si="25"/>
        <v>-1.6006323915270571E-2</v>
      </c>
      <c r="K96" s="9">
        <f t="shared" si="22"/>
        <v>1.6006323915270571E-2</v>
      </c>
    </row>
    <row r="97" spans="4:11" x14ac:dyDescent="0.25">
      <c r="D97" s="1">
        <v>91</v>
      </c>
      <c r="E97" s="12">
        <v>25</v>
      </c>
      <c r="F97" s="7">
        <f t="shared" si="23"/>
        <v>22.844037502243665</v>
      </c>
      <c r="G97" s="10">
        <f t="shared" si="20"/>
        <v>3.6000385568041998E-2</v>
      </c>
      <c r="H97" s="7">
        <f t="shared" si="24"/>
        <v>1.0943774714756349</v>
      </c>
      <c r="I97" s="16">
        <f t="shared" si="21"/>
        <v>25.039398010930103</v>
      </c>
      <c r="J97" s="9">
        <f t="shared" si="25"/>
        <v>-3.9398010930103311E-2</v>
      </c>
      <c r="K97" s="9">
        <f t="shared" si="22"/>
        <v>3.9398010930103311E-2</v>
      </c>
    </row>
    <row r="98" spans="4:11" x14ac:dyDescent="0.25">
      <c r="D98" s="1">
        <v>92</v>
      </c>
      <c r="E98" s="12">
        <v>11</v>
      </c>
      <c r="F98" s="7">
        <f t="shared" si="23"/>
        <v>5.4237620222127898</v>
      </c>
      <c r="G98" s="10">
        <f t="shared" si="20"/>
        <v>-9.3879225539219152E-3</v>
      </c>
      <c r="H98" s="7">
        <f t="shared" si="24"/>
        <v>2.0281125821800368</v>
      </c>
      <c r="I98" s="16">
        <f t="shared" si="21"/>
        <v>10.980960236147864</v>
      </c>
      <c r="J98" s="9">
        <f t="shared" si="25"/>
        <v>1.903976385213646E-2</v>
      </c>
      <c r="K98" s="9">
        <f t="shared" si="22"/>
        <v>1.903976385213646E-2</v>
      </c>
    </row>
    <row r="99" spans="4:11" x14ac:dyDescent="0.25">
      <c r="D99" s="1">
        <v>93</v>
      </c>
      <c r="E99" s="12">
        <v>24</v>
      </c>
      <c r="F99" s="7">
        <f t="shared" si="23"/>
        <v>14.144378611151895</v>
      </c>
      <c r="G99" s="10">
        <f t="shared" si="20"/>
        <v>1.331108482454482E-2</v>
      </c>
      <c r="H99" s="7">
        <f t="shared" si="24"/>
        <v>1.6967871590398187</v>
      </c>
      <c r="I99" s="16">
        <f t="shared" si="21"/>
        <v>24.022586077803176</v>
      </c>
      <c r="J99" s="9">
        <f t="shared" si="25"/>
        <v>-2.2586077803175897E-2</v>
      </c>
      <c r="K99" s="9">
        <f t="shared" si="22"/>
        <v>2.2586077803175897E-2</v>
      </c>
    </row>
    <row r="100" spans="4:11" x14ac:dyDescent="0.25">
      <c r="D100" s="1">
        <v>94</v>
      </c>
      <c r="E100" s="12">
        <v>21</v>
      </c>
      <c r="F100" s="7">
        <f t="shared" si="23"/>
        <v>53.630767627019047</v>
      </c>
      <c r="G100" s="10">
        <f t="shared" si="20"/>
        <v>0.11594558931167853</v>
      </c>
      <c r="H100" s="7">
        <f t="shared" si="24"/>
        <v>0.39156627676946121</v>
      </c>
      <c r="I100" s="16">
        <f t="shared" si="21"/>
        <v>21.045400382714611</v>
      </c>
      <c r="J100" s="9">
        <f t="shared" si="25"/>
        <v>-4.5400382714610998E-2</v>
      </c>
      <c r="K100" s="9">
        <f t="shared" si="22"/>
        <v>4.5400382714610998E-2</v>
      </c>
    </row>
    <row r="101" spans="4:11" x14ac:dyDescent="0.25">
      <c r="D101" s="1">
        <v>95</v>
      </c>
      <c r="E101" s="12">
        <v>35</v>
      </c>
      <c r="F101" s="7">
        <f t="shared" si="23"/>
        <v>57.147539646547834</v>
      </c>
      <c r="G101" s="10">
        <f t="shared" si="20"/>
        <v>0.12478812589121355</v>
      </c>
      <c r="H101" s="7">
        <f t="shared" si="24"/>
        <v>0.61244981352603656</v>
      </c>
      <c r="I101" s="16">
        <f t="shared" si="21"/>
        <v>35.076426464432338</v>
      </c>
      <c r="J101" s="9">
        <f t="shared" si="25"/>
        <v>-7.6426464432337582E-2</v>
      </c>
      <c r="K101" s="9">
        <f t="shared" si="22"/>
        <v>7.6426464432337582E-2</v>
      </c>
    </row>
    <row r="102" spans="4:11" x14ac:dyDescent="0.25">
      <c r="D102" s="1">
        <v>96</v>
      </c>
      <c r="E102" s="12">
        <v>30</v>
      </c>
      <c r="F102" s="7">
        <f t="shared" si="23"/>
        <v>46.687502335885569</v>
      </c>
      <c r="G102" s="10">
        <f t="shared" si="20"/>
        <v>9.7266372567054143E-2</v>
      </c>
      <c r="H102" s="7">
        <f t="shared" si="24"/>
        <v>0.64257024897519521</v>
      </c>
      <c r="I102" s="16">
        <f t="shared" si="21"/>
        <v>30.062500477237325</v>
      </c>
      <c r="J102" s="9">
        <f t="shared" si="25"/>
        <v>-6.2500477237325214E-2</v>
      </c>
      <c r="K102" s="9">
        <f t="shared" si="22"/>
        <v>6.2500477237325214E-2</v>
      </c>
    </row>
    <row r="103" spans="4:11" x14ac:dyDescent="0.25">
      <c r="D103" s="1">
        <v>97</v>
      </c>
      <c r="E103" s="12">
        <v>2</v>
      </c>
      <c r="F103" s="7">
        <f t="shared" si="23"/>
        <v>2.1419354878748273</v>
      </c>
      <c r="G103" s="10">
        <f t="shared" si="20"/>
        <v>-1.8810085278469918E-2</v>
      </c>
      <c r="H103" s="7">
        <f t="shared" si="24"/>
        <v>0.93373493801363172</v>
      </c>
      <c r="I103" s="16">
        <f t="shared" si="21"/>
        <v>1.9824363661884812</v>
      </c>
      <c r="J103" s="9">
        <f t="shared" si="25"/>
        <v>1.756363381151882E-2</v>
      </c>
      <c r="K103" s="9">
        <f t="shared" si="22"/>
        <v>1.756363381151882E-2</v>
      </c>
    </row>
    <row r="104" spans="4:11" x14ac:dyDescent="0.25">
      <c r="D104" s="1">
        <v>98</v>
      </c>
      <c r="E104" s="12">
        <v>32</v>
      </c>
      <c r="F104" s="7">
        <f t="shared" si="23"/>
        <v>31.247059618481103</v>
      </c>
      <c r="G104" s="10">
        <f t="shared" si="20"/>
        <v>5.6915465239405744E-2</v>
      </c>
      <c r="H104" s="7">
        <f t="shared" si="24"/>
        <v>1.0240963594882884</v>
      </c>
      <c r="I104" s="16">
        <f t="shared" si="21"/>
        <v>32.058286920750255</v>
      </c>
      <c r="J104" s="9">
        <f t="shared" si="25"/>
        <v>-5.8286920750255433E-2</v>
      </c>
      <c r="K104" s="9">
        <f t="shared" si="22"/>
        <v>5.8286920750255433E-2</v>
      </c>
    </row>
    <row r="105" spans="4:11" x14ac:dyDescent="0.25">
      <c r="D105" s="1">
        <v>99</v>
      </c>
      <c r="E105" s="12">
        <v>22</v>
      </c>
      <c r="F105" s="7">
        <f t="shared" si="23"/>
        <v>11.294845654720303</v>
      </c>
      <c r="G105" s="10">
        <f t="shared" si="20"/>
        <v>4.8894467021146013E-3</v>
      </c>
      <c r="H105" s="7">
        <f t="shared" si="24"/>
        <v>1.9477911139764743</v>
      </c>
      <c r="I105" s="16">
        <f t="shared" si="21"/>
        <v>22.009523620838642</v>
      </c>
      <c r="J105" s="9">
        <f t="shared" si="25"/>
        <v>-9.5236208386424437E-3</v>
      </c>
      <c r="K105" s="9">
        <f t="shared" si="22"/>
        <v>9.5236208386424437E-3</v>
      </c>
    </row>
    <row r="106" spans="4:11" x14ac:dyDescent="0.25">
      <c r="D106" s="1">
        <v>100</v>
      </c>
      <c r="E106" s="12">
        <v>22</v>
      </c>
      <c r="F106" s="7">
        <f t="shared" si="23"/>
        <v>56.184613704496144</v>
      </c>
      <c r="G106" s="10">
        <f t="shared" si="20"/>
        <v>0.12159525014717025</v>
      </c>
      <c r="H106" s="7">
        <f t="shared" si="24"/>
        <v>0.39156627676946121</v>
      </c>
      <c r="I106" s="16">
        <f t="shared" si="21"/>
        <v>22.047612599372975</v>
      </c>
      <c r="J106" s="9">
        <f t="shared" si="25"/>
        <v>-4.7612599372975239E-2</v>
      </c>
      <c r="K106" s="9">
        <f t="shared" si="22"/>
        <v>4.7612599372975239E-2</v>
      </c>
    </row>
    <row r="107" spans="4:11" x14ac:dyDescent="0.25">
      <c r="D107" s="1">
        <v>101</v>
      </c>
      <c r="E107" s="12">
        <v>16</v>
      </c>
      <c r="F107" s="7">
        <f t="shared" si="23"/>
        <v>11.464748080495202</v>
      </c>
      <c r="G107" s="10">
        <f t="shared" si="20"/>
        <v>5.0023377490712589E-3</v>
      </c>
      <c r="H107" s="7">
        <f t="shared" si="24"/>
        <v>1.395582344039513</v>
      </c>
      <c r="I107" s="16">
        <f t="shared" si="21"/>
        <v>16.006981174241535</v>
      </c>
      <c r="J107" s="9">
        <f t="shared" si="25"/>
        <v>-6.98117424153466E-3</v>
      </c>
      <c r="K107" s="9">
        <f t="shared" si="22"/>
        <v>6.98117424153466E-3</v>
      </c>
    </row>
    <row r="108" spans="4:11" x14ac:dyDescent="0.25">
      <c r="D108" s="1">
        <v>102</v>
      </c>
      <c r="E108" s="12">
        <v>2</v>
      </c>
      <c r="F108" s="7">
        <f t="shared" si="23"/>
        <v>1.9529412261550703</v>
      </c>
      <c r="G108" s="10">
        <f t="shared" si="20"/>
        <v>-1.9742451533259618E-2</v>
      </c>
      <c r="H108" s="7">
        <f t="shared" si="24"/>
        <v>1.0240963594882877</v>
      </c>
      <c r="I108" s="16">
        <f t="shared" si="21"/>
        <v>1.9797818272574159</v>
      </c>
      <c r="J108" s="9">
        <f t="shared" si="25"/>
        <v>2.0218172742584084E-2</v>
      </c>
      <c r="K108" s="9">
        <f t="shared" si="22"/>
        <v>2.0218172742584084E-2</v>
      </c>
    </row>
    <row r="109" spans="4:11" x14ac:dyDescent="0.25">
      <c r="D109" s="1">
        <v>103</v>
      </c>
      <c r="E109" s="12">
        <v>50</v>
      </c>
      <c r="F109" s="7">
        <f t="shared" si="23"/>
        <v>829.99993247407792</v>
      </c>
      <c r="G109" s="10">
        <f t="shared" si="20"/>
        <v>2.1333254962967256</v>
      </c>
      <c r="H109" s="7">
        <f t="shared" si="24"/>
        <v>6.0240968756418024E-2</v>
      </c>
      <c r="I109" s="16">
        <f t="shared" si="21"/>
        <v>50.128513594569675</v>
      </c>
      <c r="J109" s="9">
        <f t="shared" si="25"/>
        <v>-0.12851359456967515</v>
      </c>
      <c r="K109" s="9">
        <f t="shared" si="22"/>
        <v>0.12851359456967515</v>
      </c>
    </row>
    <row r="110" spans="4:11" x14ac:dyDescent="0.25">
      <c r="D110" s="1">
        <v>104</v>
      </c>
      <c r="E110" s="12">
        <v>12</v>
      </c>
      <c r="F110" s="7">
        <f t="shared" si="23"/>
        <v>13.581818197691705</v>
      </c>
      <c r="G110" s="10">
        <f t="shared" si="20"/>
        <v>4.9983978864349687E-3</v>
      </c>
      <c r="H110" s="7">
        <f t="shared" si="24"/>
        <v>0.88353413551356896</v>
      </c>
      <c r="I110" s="16">
        <f t="shared" si="21"/>
        <v>12.004416255155624</v>
      </c>
      <c r="J110" s="9">
        <f t="shared" si="25"/>
        <v>-4.4162551556237162E-3</v>
      </c>
      <c r="K110" s="9">
        <f t="shared" si="22"/>
        <v>4.4162551556237162E-3</v>
      </c>
    </row>
  </sheetData>
  <mergeCells count="3">
    <mergeCell ref="C7:C32"/>
    <mergeCell ref="C33:C58"/>
    <mergeCell ref="C59:C84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8"/>
  <sheetViews>
    <sheetView workbookViewId="0">
      <selection activeCell="K6" sqref="K6"/>
    </sheetView>
  </sheetViews>
  <sheetFormatPr defaultRowHeight="15" x14ac:dyDescent="0.25"/>
  <cols>
    <col min="3" max="3" width="23.140625" customWidth="1"/>
    <col min="4" max="4" width="23.28515625" customWidth="1"/>
    <col min="5" max="5" width="30.140625" customWidth="1"/>
    <col min="7" max="7" width="17" customWidth="1"/>
  </cols>
  <sheetData>
    <row r="2" spans="3:7" x14ac:dyDescent="0.25">
      <c r="C2" s="23" t="s">
        <v>27</v>
      </c>
      <c r="D2" s="23" t="s">
        <v>28</v>
      </c>
      <c r="E2" s="23" t="s">
        <v>29</v>
      </c>
      <c r="F2" s="23" t="s">
        <v>31</v>
      </c>
      <c r="G2" s="23" t="s">
        <v>32</v>
      </c>
    </row>
    <row r="3" spans="3:7" x14ac:dyDescent="0.25">
      <c r="C3" s="25" t="s">
        <v>30</v>
      </c>
      <c r="D3" s="25">
        <f>'orange 1liter'!Y62</f>
        <v>64.84615384615384</v>
      </c>
      <c r="E3" s="25">
        <f>'orange 1liter'!W62</f>
        <v>64.84615384615384</v>
      </c>
      <c r="F3" s="25">
        <f>E3/D3</f>
        <v>1</v>
      </c>
      <c r="G3" s="25">
        <f>(F3-1)*100</f>
        <v>0</v>
      </c>
    </row>
    <row r="4" spans="3:7" x14ac:dyDescent="0.25">
      <c r="C4" s="24" t="s">
        <v>33</v>
      </c>
      <c r="D4" s="24">
        <f>'orange mango1liter'!Y62</f>
        <v>42.5</v>
      </c>
      <c r="E4" s="24">
        <f>'orange mango1liter'!W62</f>
        <v>39.814308192307699</v>
      </c>
      <c r="F4" s="24">
        <f t="shared" ref="F4:F8" si="0">E4/D4</f>
        <v>0.93680725158371059</v>
      </c>
      <c r="G4" s="24">
        <f>(F4-1)*100</f>
        <v>-6.3192748416289408</v>
      </c>
    </row>
    <row r="5" spans="3:7" x14ac:dyDescent="0.25">
      <c r="C5" s="25" t="s">
        <v>37</v>
      </c>
      <c r="D5" s="25">
        <f>'orange cpower1liter'!Y62</f>
        <v>11.05</v>
      </c>
      <c r="E5" s="25">
        <f>'orange cpower1liter'!W62</f>
        <v>11.640740740740741</v>
      </c>
      <c r="F5" s="25">
        <f t="shared" si="0"/>
        <v>1.053460700519524</v>
      </c>
      <c r="G5" s="25">
        <f t="shared" ref="G5:G8" si="1">(F5-1)*100</f>
        <v>5.3460700519524007</v>
      </c>
    </row>
    <row r="6" spans="3:7" x14ac:dyDescent="0.25">
      <c r="C6" s="24" t="s">
        <v>34</v>
      </c>
      <c r="D6" s="24">
        <f>orpet!Y62</f>
        <v>115.69230769230769</v>
      </c>
      <c r="E6" s="24">
        <f>orpet!W62</f>
        <v>115.69230769230769</v>
      </c>
      <c r="F6" s="24">
        <f t="shared" si="0"/>
        <v>1</v>
      </c>
      <c r="G6" s="24">
        <f t="shared" si="1"/>
        <v>0</v>
      </c>
    </row>
    <row r="7" spans="3:7" x14ac:dyDescent="0.25">
      <c r="C7" s="25" t="s">
        <v>35</v>
      </c>
      <c r="D7" s="25">
        <f>ormangopet!Y62</f>
        <v>56.96153846153846</v>
      </c>
      <c r="E7" s="25">
        <f>ormangopet!W62</f>
        <v>56.96153846153846</v>
      </c>
      <c r="F7" s="25">
        <f t="shared" si="0"/>
        <v>1</v>
      </c>
      <c r="G7" s="25">
        <f t="shared" si="1"/>
        <v>0</v>
      </c>
    </row>
    <row r="8" spans="3:7" x14ac:dyDescent="0.25">
      <c r="C8" s="24" t="s">
        <v>36</v>
      </c>
      <c r="D8" s="24">
        <f>cpowpet!Y62</f>
        <v>20.653846153846153</v>
      </c>
      <c r="E8" s="24">
        <f>cpowpet!W62</f>
        <v>20.653846153846153</v>
      </c>
      <c r="F8" s="24">
        <f t="shared" si="0"/>
        <v>1</v>
      </c>
      <c r="G8" s="24">
        <f t="shared" si="1"/>
        <v>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orange 1liter</vt:lpstr>
      <vt:lpstr>orange mango1liter</vt:lpstr>
      <vt:lpstr>orange cpower1liter</vt:lpstr>
      <vt:lpstr>orpet</vt:lpstr>
      <vt:lpstr>ormangopet</vt:lpstr>
      <vt:lpstr>cpowpet</vt:lpstr>
      <vt:lpstr>récapitulatif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 dominik Nougbele</dc:creator>
  <cp:lastModifiedBy>Aleks dominik Nougbele</cp:lastModifiedBy>
  <dcterms:created xsi:type="dcterms:W3CDTF">2016-11-07T17:29:03Z</dcterms:created>
  <dcterms:modified xsi:type="dcterms:W3CDTF">2017-05-28T07:16:03Z</dcterms:modified>
</cp:coreProperties>
</file>